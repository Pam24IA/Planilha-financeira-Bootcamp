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n-10\Documents\"/>
    </mc:Choice>
  </mc:AlternateContent>
  <xr:revisionPtr revIDLastSave="0" documentId="13_ncr:1_{382EE515-36B6-47E6-B4E7-9092E29C8273}" xr6:coauthVersionLast="47" xr6:coauthVersionMax="47" xr10:uidLastSave="{00000000-0000-0000-0000-000000000000}"/>
  <bookViews>
    <workbookView xWindow="-120" yWindow="-120" windowWidth="19440" windowHeight="11640" tabRatio="560" activeTab="3" xr2:uid="{2492FF0B-B0E4-426B-9794-3E5BAD8EC4D4}"/>
  </bookViews>
  <sheets>
    <sheet name="Data" sheetId="1" r:id="rId1"/>
    <sheet name="controle" sheetId="2" r:id="rId2"/>
    <sheet name="Caixinha" sheetId="4" r:id="rId3"/>
    <sheet name="Dashboard" sheetId="3" r:id="rId4"/>
  </sheets>
  <definedNames>
    <definedName name="SegmentaçãodeDados_Mês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D3" i="4"/>
</calcChain>
</file>

<file path=xl/sharedStrings.xml><?xml version="1.0" encoding="utf-8"?>
<sst xmlns="http://schemas.openxmlformats.org/spreadsheetml/2006/main" count="306" uniqueCount="97">
  <si>
    <t>Data</t>
  </si>
  <si>
    <t>Tipo</t>
  </si>
  <si>
    <t>Descrição</t>
  </si>
  <si>
    <t>Valor</t>
  </si>
  <si>
    <t>Categoria</t>
  </si>
  <si>
    <t>Status</t>
  </si>
  <si>
    <t>Operação Bancária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</si>
  <si>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</si>
  <si>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</si>
  <si>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</si>
  <si>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</si>
  <si>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</si>
  <si>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</si>
  <si>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</si>
  <si>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Cartão de Crédito</t>
  </si>
  <si>
    <t>Pago</t>
  </si>
  <si>
    <t>Lazer</t>
  </si>
  <si>
    <t>Dinheiro</t>
  </si>
  <si>
    <t>Saúde</t>
  </si>
  <si>
    <t>Cartão de Débito</t>
  </si>
  <si>
    <t>Vestuário</t>
  </si>
  <si>
    <t>Educação</t>
  </si>
  <si>
    <t>Débito Automático</t>
  </si>
  <si>
    <t>Pet</t>
  </si>
  <si>
    <t>Utilidade Doméstica</t>
  </si>
  <si>
    <t>Cheque</t>
  </si>
  <si>
    <t>Viagem</t>
  </si>
  <si>
    <t>Consulta e medicamentos</t>
  </si>
  <si>
    <t>Cursos online</t>
  </si>
  <si>
    <t>Produtos para o pet</t>
  </si>
  <si>
    <t>Utensílios de cozinha</t>
  </si>
  <si>
    <t>Consulta com especialista</t>
  </si>
  <si>
    <t>Passagens e hospedagem</t>
  </si>
  <si>
    <t>Jantar em restaurante</t>
  </si>
  <si>
    <t>Mercado da semana</t>
  </si>
  <si>
    <t>Mensalidade da escola</t>
  </si>
  <si>
    <t>Jantar e passeio</t>
  </si>
  <si>
    <t>Rótulos de Linha</t>
  </si>
  <si>
    <t>Total Geral</t>
  </si>
  <si>
    <t>Soma de Valor</t>
  </si>
  <si>
    <t>Mês</t>
  </si>
  <si>
    <t>Data de lançamento</t>
  </si>
  <si>
    <t xml:space="preserve">Depósito Reservado </t>
  </si>
  <si>
    <t>Total Reservado</t>
  </si>
  <si>
    <t>Meta de Reserva</t>
  </si>
  <si>
    <t>ENTRADA</t>
  </si>
  <si>
    <t>Renda Fixa</t>
  </si>
  <si>
    <t>SAÍDA</t>
  </si>
  <si>
    <t>Compras no supermercado</t>
  </si>
  <si>
    <t>Pendente</t>
  </si>
  <si>
    <t>Transporte</t>
  </si>
  <si>
    <t>Gasolina</t>
  </si>
  <si>
    <t>Cinema</t>
  </si>
  <si>
    <t>Consulta odontológica</t>
  </si>
  <si>
    <t>Material escolar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</si>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</sst>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1" fontId="0" fillId="0" borderId="0" xfId="0" applyNumberFormat="1"/>
    <xf numFmtId="1" fontId="0" fillId="0" borderId="0" xfId="0" applyNumberFormat="1" applyAlignment="1">
      <alignment vertical="center" wrapText="1"/>
    </xf>
    <xf numFmtId="0" fontId="2" fillId="0" borderId="0" xfId="0" applyFont="1"/>
    <xf numFmtId="44" fontId="3" fillId="0" borderId="0" xfId="1" applyFont="1"/>
    <xf numFmtId="14" fontId="3" fillId="0" borderId="0" xfId="0" applyNumberFormat="1" applyFont="1"/>
    <xf numFmtId="44" fontId="0" fillId="0" borderId="0" xfId="0" applyNumberFormat="1"/>
    <xf numFmtId="44" fontId="0" fillId="0" borderId="0" xfId="1" applyFon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1" fontId="0" fillId="0" borderId="0" xfId="0" applyNumberFormat="1" applyAlignment="1">
      <alignment horizontal="center" wrapText="1"/>
    </xf>
  </cellXfs>
  <cellStyles count="2">
    <cellStyle name="Moeda" xfId="1" builtinId="4"/>
    <cellStyle name="Normal" xfId="0" builtinId="0"/>
  </cellStyles>
  <dxfs count="15"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&quot;R$&quot;\ 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z val="14"/>
        <color theme="0"/>
        <name val="Segoe UI"/>
        <family val="2"/>
        <scheme val="none"/>
      </font>
      <border diagonalUp="0" diagonalDown="0">
        <left/>
        <right/>
        <top/>
        <bottom/>
        <vertical/>
        <horizontal/>
      </border>
    </dxf>
    <dxf>
      <font>
        <color theme="0"/>
        <name val="Segoe UI"/>
        <family val="2"/>
        <scheme val="none"/>
      </font>
      <fill>
        <patternFill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My style" pivot="0" table="0" count="10" xr9:uid="{01DB54EC-14CE-42BC-978B-498B6A5CD2F1}">
      <tableStyleElement type="wholeTable" dxfId="14"/>
      <tableStyleElement type="headerRow" dxfId="13"/>
    </tableStyle>
  </tableStyles>
  <colors>
    <mruColors>
      <color rgb="FFE52A05"/>
      <color rgb="FFFA4926"/>
      <color rgb="FFFB6F54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0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y sty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desafio bootcamp.xlsx]controle!tbl_saida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481772073016842E-2"/>
          <c:y val="7.407407407407407E-2"/>
          <c:w val="0.95011337868480727"/>
          <c:h val="0.79081802274715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controle!$D$3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controle!$C$4:$C$7</c:f>
              <c:strCache>
                <c:ptCount val="3"/>
                <c:pt idx="0">
                  <c:v>Alimentação</c:v>
                </c:pt>
                <c:pt idx="1">
                  <c:v>Saúde</c:v>
                </c:pt>
                <c:pt idx="2">
                  <c:v>Viagem</c:v>
                </c:pt>
              </c:strCache>
            </c:strRef>
          </c:cat>
          <c:val>
            <c:numRef>
              <c:f>controle!$D$4:$D$7</c:f>
              <c:numCache>
                <c:formatCode>"R$"\ #,##0.00</c:formatCode>
                <c:ptCount val="3"/>
                <c:pt idx="0">
                  <c:v>200</c:v>
                </c:pt>
                <c:pt idx="1">
                  <c:v>125</c:v>
                </c:pt>
                <c:pt idx="2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3-45FE-82F8-FAD1809AC5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367814040"/>
        <c:axId val="367812400"/>
      </c:barChart>
      <c:catAx>
        <c:axId val="36781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812400"/>
        <c:crosses val="autoZero"/>
        <c:auto val="1"/>
        <c:lblAlgn val="ctr"/>
        <c:lblOffset val="100"/>
        <c:noMultiLvlLbl val="0"/>
      </c:catAx>
      <c:valAx>
        <c:axId val="36781240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3678140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desafio bootcamp.xlsx]controle!tbl_entrada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8007509305056"/>
          <c:y val="0.34518081073199181"/>
          <c:w val="0.67869181977252846"/>
          <c:h val="0.566959025955088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controle!$G$3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controle!$F$4:$F$5</c:f>
              <c:strCache>
                <c:ptCount val="1"/>
                <c:pt idx="0">
                  <c:v>Renda Fixa</c:v>
                </c:pt>
              </c:strCache>
            </c:strRef>
          </c:cat>
          <c:val>
            <c:numRef>
              <c:f>controle!$G$4:$G$5</c:f>
              <c:numCache>
                <c:formatCode>"R$"\ #,##0.00</c:formatCode>
                <c:ptCount val="1"/>
                <c:pt idx="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F-4B7D-8772-07B3B04934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7811088"/>
        <c:axId val="367807808"/>
      </c:barChart>
      <c:catAx>
        <c:axId val="36781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807808"/>
        <c:crosses val="autoZero"/>
        <c:auto val="1"/>
        <c:lblAlgn val="ctr"/>
        <c:lblOffset val="100"/>
        <c:noMultiLvlLbl val="0"/>
      </c:catAx>
      <c:valAx>
        <c:axId val="36780780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36781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785009861932938E-2"/>
          <c:y val="8.1893810488372451E-2"/>
          <c:w val="0.91321499013806706"/>
          <c:h val="0.82496084653696389"/>
        </c:manualLayout>
      </c:layout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100-4116-B4E9-4B5455EC83E3}"/>
              </c:ext>
            </c:extLst>
          </c:dPt>
          <c:val>
            <c:numRef>
              <c:f>Caixinha!$D$4</c:f>
              <c:numCache>
                <c:formatCode>_("R$"* #,##0.00_);_("R$"* \(#,##0.00\);_("R$"* "-"??_);_(@_)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00-4116-B4E9-4B5455EC8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168056"/>
        <c:axId val="624169040"/>
      </c:barChar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6000">
                  <a:schemeClr val="accent1">
                    <a:lumMod val="75000"/>
                  </a:schemeClr>
                </a:gs>
                <a:gs pos="74000">
                  <a:schemeClr val="bg1">
                    <a:lumMod val="95000"/>
                    <a:alpha val="74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_("R$"* #,##0.00_);_("R$"* \(#,##0.00\);_("R$"* "-"??_);_(@_)</c:formatCode>
                <c:ptCount val="1"/>
                <c:pt idx="0">
                  <c:v>3235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0-4116-B4E9-4B5455EC8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4529264"/>
        <c:axId val="364522048"/>
      </c:barChart>
      <c:catAx>
        <c:axId val="624168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169040"/>
        <c:crosses val="autoZero"/>
        <c:auto val="1"/>
        <c:lblAlgn val="ctr"/>
        <c:lblOffset val="100"/>
        <c:noMultiLvlLbl val="0"/>
      </c:catAx>
      <c:valAx>
        <c:axId val="62416904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24168056"/>
        <c:crosses val="autoZero"/>
        <c:crossBetween val="between"/>
      </c:valAx>
      <c:valAx>
        <c:axId val="364522048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64529264"/>
        <c:crosses val="max"/>
        <c:crossBetween val="between"/>
      </c:valAx>
      <c:catAx>
        <c:axId val="364529264"/>
        <c:scaling>
          <c:orientation val="minMax"/>
        </c:scaling>
        <c:delete val="1"/>
        <c:axPos val="b"/>
        <c:majorTickMark val="out"/>
        <c:minorTickMark val="none"/>
        <c:tickLblPos val="nextTo"/>
        <c:crossAx val="364522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image" Target="../media/image9.sv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2" Type="http://schemas.microsoft.com/office/2007/relationships/hdphoto" Target="../media/hdphoto1.wdp"/><Relationship Id="rId16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image" Target="../media/image7.svg"/><Relationship Id="rId5" Type="http://schemas.openxmlformats.org/officeDocument/2006/relationships/image" Target="../media/image3.svg"/><Relationship Id="rId15" Type="http://schemas.openxmlformats.org/officeDocument/2006/relationships/image" Target="../media/image11.svg"/><Relationship Id="rId10" Type="http://schemas.openxmlformats.org/officeDocument/2006/relationships/image" Target="../media/image6.png"/><Relationship Id="rId4" Type="http://schemas.openxmlformats.org/officeDocument/2006/relationships/image" Target="../media/image2.png"/><Relationship Id="rId9" Type="http://schemas.openxmlformats.org/officeDocument/2006/relationships/hyperlink" Target="#Data!A1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583406</xdr:colOff>
      <xdr:row>0</xdr:row>
      <xdr:rowOff>107158</xdr:rowOff>
    </xdr:from>
    <xdr:to>
      <xdr:col>17</xdr:col>
      <xdr:colOff>345281</xdr:colOff>
      <xdr:row>7</xdr:row>
      <xdr:rowOff>142876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id="{E16567CD-6B87-4853-9CB7-4094813D34C6}"/>
            </a:ext>
          </a:extLst>
        </xdr:cNvPr>
        <xdr:cNvGrpSpPr/>
      </xdr:nvGrpSpPr>
      <xdr:grpSpPr>
        <a:xfrm>
          <a:off x="3119437" y="107158"/>
          <a:ext cx="9477375" cy="1369218"/>
          <a:chOff x="2393157" y="190501"/>
          <a:chExt cx="9048749" cy="1369218"/>
        </a:xfrm>
      </xdr:grpSpPr>
      <xdr:sp macro="" textlink="">
        <xdr:nvSpPr>
          <xdr:cNvPr id="45" name="Retângulo: Cantos Arredondados 44">
            <a:extLst>
              <a:ext uri="{FF2B5EF4-FFF2-40B4-BE49-F238E27FC236}">
                <a16:creationId xmlns:a16="http://schemas.microsoft.com/office/drawing/2014/main" id="{5B77477A-EADB-4828-86ED-33345D9DCA56}"/>
              </a:ext>
            </a:extLst>
          </xdr:cNvPr>
          <xdr:cNvSpPr/>
        </xdr:nvSpPr>
        <xdr:spPr>
          <a:xfrm>
            <a:off x="2393157" y="226219"/>
            <a:ext cx="9048749" cy="13335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9" name="CaixaDeTexto 48">
            <a:extLst>
              <a:ext uri="{FF2B5EF4-FFF2-40B4-BE49-F238E27FC236}">
                <a16:creationId xmlns:a16="http://schemas.microsoft.com/office/drawing/2014/main" id="{9989E0E4-C467-479B-94D9-5DB35D5178EF}"/>
              </a:ext>
            </a:extLst>
          </xdr:cNvPr>
          <xdr:cNvSpPr txBox="1"/>
        </xdr:nvSpPr>
        <xdr:spPr>
          <a:xfrm>
            <a:off x="4271963" y="819151"/>
            <a:ext cx="2574132" cy="440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0">
                <a:solidFill>
                  <a:schemeClr val="bg2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Acompanhamento Financeiro</a:t>
            </a:r>
          </a:p>
        </xdr:txBody>
      </xdr:sp>
      <xdr:sp macro="" textlink="">
        <xdr:nvSpPr>
          <xdr:cNvPr id="60" name="Retângulo: Cantos Arredondados 59">
            <a:extLst>
              <a:ext uri="{FF2B5EF4-FFF2-40B4-BE49-F238E27FC236}">
                <a16:creationId xmlns:a16="http://schemas.microsoft.com/office/drawing/2014/main" id="{4F973562-61CA-4499-A827-5D2305B62425}"/>
              </a:ext>
            </a:extLst>
          </xdr:cNvPr>
          <xdr:cNvSpPr/>
        </xdr:nvSpPr>
        <xdr:spPr>
          <a:xfrm>
            <a:off x="2583656" y="428625"/>
            <a:ext cx="1428749" cy="976312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1" name="CaixaDeTexto 60">
            <a:extLst>
              <a:ext uri="{FF2B5EF4-FFF2-40B4-BE49-F238E27FC236}">
                <a16:creationId xmlns:a16="http://schemas.microsoft.com/office/drawing/2014/main" id="{C76C7B7F-9478-4B5B-9EE2-6DDC983B363A}"/>
              </a:ext>
            </a:extLst>
          </xdr:cNvPr>
          <xdr:cNvSpPr txBox="1"/>
        </xdr:nvSpPr>
        <xdr:spPr>
          <a:xfrm>
            <a:off x="4271962" y="452439"/>
            <a:ext cx="2035968" cy="4405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 b="1">
                <a:latin typeface="Segoe UI" panose="020B0502040204020203" pitchFamily="34" charset="0"/>
                <a:cs typeface="Segoe UI" panose="020B0502040204020203" pitchFamily="34" charset="0"/>
              </a:rPr>
              <a:t>Hello,</a:t>
            </a:r>
            <a:r>
              <a:rPr lang="pt-BR" sz="2000" b="1" baseline="0">
                <a:latin typeface="Segoe UI" panose="020B0502040204020203" pitchFamily="34" charset="0"/>
                <a:cs typeface="Segoe UI" panose="020B0502040204020203" pitchFamily="34" charset="0"/>
              </a:rPr>
              <a:t> Pamela</a:t>
            </a:r>
            <a:endParaRPr lang="pt-BR" sz="20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56" name="Imagem 55" descr="Desenho De Mulher De Negócios PNG - Desenho De Mulher De Negócios  Empresária Mesa ilustração transparente">
            <a:extLst>
              <a:ext uri="{FF2B5EF4-FFF2-40B4-BE49-F238E27FC236}">
                <a16:creationId xmlns:a16="http://schemas.microsoft.com/office/drawing/2014/main" id="{FDAC0126-BC4C-49EC-B523-36A3252A67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3070" b="89474" l="9955" r="89593">
                        <a14:foregroundMark x1="37557" y1="8333" x2="64253" y2="10088"/>
                        <a14:foregroundMark x1="39819" y1="3947" x2="44344" y2="4386"/>
                        <a14:foregroundMark x1="41176" y1="3070" x2="41176" y2="3070"/>
                        <a14:foregroundMark x1="33484" y1="82895" x2="36652" y2="83333"/>
                        <a14:foregroundMark x1="49774" y1="86404" x2="49774" y2="86404"/>
                        <a14:foregroundMark x1="46606" y1="88158" x2="46606" y2="88158"/>
                        <a14:foregroundMark x1="55204" y1="87719" x2="55204" y2="87719"/>
                        <a14:foregroundMark x1="57466" y1="85088" x2="57466" y2="85088"/>
                        <a14:foregroundMark x1="58371" y1="85965" x2="59276" y2="86404"/>
                        <a14:foregroundMark x1="63801" y1="86404" x2="63801" y2="86404"/>
                        <a14:foregroundMark x1="61538" y1="86842" x2="61538" y2="86842"/>
                        <a14:foregroundMark x1="80543" y1="84211" x2="80543" y2="84211"/>
                        <a14:foregroundMark x1="74661" y1="83772" x2="74661" y2="83772"/>
                        <a14:foregroundMark x1="72851" y1="82895" x2="72851" y2="82895"/>
                        <a14:backgroundMark x1="39819" y1="3509" x2="39819" y2="3509"/>
                        <a14:backgroundMark x1="41176" y1="2193" x2="41176" y2="2193"/>
                      </a14:backgroundRemoval>
                    </a14:imgEffect>
                    <a14:imgEffect>
                      <a14:sharpenSoften amount="-5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90813" y="190501"/>
            <a:ext cx="1369218" cy="13680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</xdr:col>
      <xdr:colOff>47624</xdr:colOff>
      <xdr:row>27</xdr:row>
      <xdr:rowOff>166687</xdr:rowOff>
    </xdr:from>
    <xdr:to>
      <xdr:col>17</xdr:col>
      <xdr:colOff>500063</xdr:colOff>
      <xdr:row>48</xdr:row>
      <xdr:rowOff>190499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AFA2EDF9-8F93-4EE7-BCF7-0B377D8E5F53}"/>
            </a:ext>
          </a:extLst>
        </xdr:cNvPr>
        <xdr:cNvGrpSpPr/>
      </xdr:nvGrpSpPr>
      <xdr:grpSpPr>
        <a:xfrm>
          <a:off x="3190874" y="5310187"/>
          <a:ext cx="9560720" cy="4024312"/>
          <a:chOff x="2345531" y="3536156"/>
          <a:chExt cx="8417717" cy="4024312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07F6C844-2D28-4B60-89F9-6C3943DD0ED9}"/>
              </a:ext>
            </a:extLst>
          </xdr:cNvPr>
          <xdr:cNvGrpSpPr/>
        </xdr:nvGrpSpPr>
        <xdr:grpSpPr>
          <a:xfrm>
            <a:off x="2345531" y="3536156"/>
            <a:ext cx="8417717" cy="4024312"/>
            <a:chOff x="2762252" y="4321969"/>
            <a:chExt cx="8417717" cy="4024312"/>
          </a:xfrm>
        </xdr:grpSpPr>
        <xdr:grpSp>
          <xdr:nvGrpSpPr>
            <xdr:cNvPr id="16" name="Agrupar 15">
              <a:extLst>
                <a:ext uri="{FF2B5EF4-FFF2-40B4-BE49-F238E27FC236}">
                  <a16:creationId xmlns:a16="http://schemas.microsoft.com/office/drawing/2014/main" id="{F189995E-8379-4F08-88D8-5E5F1EA67AB7}"/>
                </a:ext>
              </a:extLst>
            </xdr:cNvPr>
            <xdr:cNvGrpSpPr/>
          </xdr:nvGrpSpPr>
          <xdr:grpSpPr>
            <a:xfrm>
              <a:off x="2762252" y="4321969"/>
              <a:ext cx="8417717" cy="4024312"/>
              <a:chOff x="2797970" y="4893469"/>
              <a:chExt cx="8417717" cy="4024312"/>
            </a:xfrm>
          </xdr:grpSpPr>
          <xdr:sp macro="" textlink="">
            <xdr:nvSpPr>
              <xdr:cNvPr id="9" name="Retângulo: Cantos Arredondados 8">
                <a:extLst>
                  <a:ext uri="{FF2B5EF4-FFF2-40B4-BE49-F238E27FC236}">
                    <a16:creationId xmlns:a16="http://schemas.microsoft.com/office/drawing/2014/main" id="{D2701C93-5352-449F-8D1B-A00B879A5B7E}"/>
                  </a:ext>
                </a:extLst>
              </xdr:cNvPr>
              <xdr:cNvSpPr/>
            </xdr:nvSpPr>
            <xdr:spPr>
              <a:xfrm>
                <a:off x="2797970" y="4893469"/>
                <a:ext cx="8405811" cy="4024312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3" name="Gráfico 2">
                <a:extLst>
                  <a:ext uri="{FF2B5EF4-FFF2-40B4-BE49-F238E27FC236}">
                    <a16:creationId xmlns:a16="http://schemas.microsoft.com/office/drawing/2014/main" id="{1C2DC09D-495E-4681-B97E-A2DD4B981F0E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512343" y="5738814"/>
              <a:ext cx="6810374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15" name="Retângulo: Cantos Superiores Arredondados 14">
                <a:extLst>
                  <a:ext uri="{FF2B5EF4-FFF2-40B4-BE49-F238E27FC236}">
                    <a16:creationId xmlns:a16="http://schemas.microsoft.com/office/drawing/2014/main" id="{5BC2CD86-0698-47C6-A3CB-3932C1507325}"/>
                  </a:ext>
                </a:extLst>
              </xdr:cNvPr>
              <xdr:cNvSpPr/>
            </xdr:nvSpPr>
            <xdr:spPr>
              <a:xfrm>
                <a:off x="2833687" y="4893471"/>
                <a:ext cx="8382000" cy="552932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chemeClr val="accent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EB1385BF-EF9B-4EF3-B822-A0DD2F3FA7C4}"/>
                </a:ext>
              </a:extLst>
            </xdr:cNvPr>
            <xdr:cNvSpPr txBox="1"/>
          </xdr:nvSpPr>
          <xdr:spPr>
            <a:xfrm>
              <a:off x="3750468" y="4405313"/>
              <a:ext cx="2952750" cy="3452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Gastos</a:t>
              </a:r>
            </a:p>
          </xdr:txBody>
        </xdr:sp>
      </xdr:grpSp>
      <xdr:pic>
        <xdr:nvPicPr>
          <xdr:cNvPr id="31" name="Gráfico 30" descr="Dinheiro">
            <a:extLst>
              <a:ext uri="{FF2B5EF4-FFF2-40B4-BE49-F238E27FC236}">
                <a16:creationId xmlns:a16="http://schemas.microsoft.com/office/drawing/2014/main" id="{DB9DC7B6-0C7B-48E9-8807-6A85CCA287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667000" y="3545679"/>
            <a:ext cx="559594" cy="55959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2119312</xdr:colOff>
      <xdr:row>8</xdr:row>
      <xdr:rowOff>95249</xdr:rowOff>
    </xdr:from>
    <xdr:to>
      <xdr:col>9</xdr:col>
      <xdr:colOff>392906</xdr:colOff>
      <xdr:row>26</xdr:row>
      <xdr:rowOff>23811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F4503AF3-EDF1-4F51-9918-3CAE48251382}"/>
            </a:ext>
          </a:extLst>
        </xdr:cNvPr>
        <xdr:cNvGrpSpPr/>
      </xdr:nvGrpSpPr>
      <xdr:grpSpPr>
        <a:xfrm>
          <a:off x="2119312" y="1619249"/>
          <a:ext cx="5667375" cy="3357562"/>
          <a:chOff x="1428749" y="47625"/>
          <a:chExt cx="5155406" cy="3357562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870A7FC6-E3C7-4A4A-B744-E07CD3755FA2}"/>
              </a:ext>
            </a:extLst>
          </xdr:cNvPr>
          <xdr:cNvGrpSpPr/>
        </xdr:nvGrpSpPr>
        <xdr:grpSpPr>
          <a:xfrm>
            <a:off x="1428749" y="47625"/>
            <a:ext cx="5155406" cy="3357562"/>
            <a:chOff x="1928812" y="369094"/>
            <a:chExt cx="5155406" cy="3357562"/>
          </a:xfrm>
        </xdr:grpSpPr>
        <xdr:grpSp>
          <xdr:nvGrpSpPr>
            <xdr:cNvPr id="13" name="Agrupar 12">
              <a:extLst>
                <a:ext uri="{FF2B5EF4-FFF2-40B4-BE49-F238E27FC236}">
                  <a16:creationId xmlns:a16="http://schemas.microsoft.com/office/drawing/2014/main" id="{5125D9E7-0CF7-4913-B2A9-ECFC25683A2D}"/>
                </a:ext>
              </a:extLst>
            </xdr:cNvPr>
            <xdr:cNvGrpSpPr/>
          </xdr:nvGrpSpPr>
          <xdr:grpSpPr>
            <a:xfrm>
              <a:off x="2833687" y="464344"/>
              <a:ext cx="4119563" cy="3262312"/>
              <a:chOff x="6810374" y="511969"/>
              <a:chExt cx="3774281" cy="2809875"/>
            </a:xfrm>
          </xdr:grpSpPr>
          <xdr:sp macro="" textlink="">
            <xdr:nvSpPr>
              <xdr:cNvPr id="6" name="Retângulo: Cantos Arredondados 5">
                <a:extLst>
                  <a:ext uri="{FF2B5EF4-FFF2-40B4-BE49-F238E27FC236}">
                    <a16:creationId xmlns:a16="http://schemas.microsoft.com/office/drawing/2014/main" id="{0424F8FF-9A73-4B6C-8B38-6DCD6CBC0A88}"/>
                  </a:ext>
                </a:extLst>
              </xdr:cNvPr>
              <xdr:cNvSpPr/>
            </xdr:nvSpPr>
            <xdr:spPr>
              <a:xfrm>
                <a:off x="6810374" y="511969"/>
                <a:ext cx="3774281" cy="2809875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8" name="Retângulo: Cantos Superiores Arredondados 7">
                <a:extLst>
                  <a:ext uri="{FF2B5EF4-FFF2-40B4-BE49-F238E27FC236}">
                    <a16:creationId xmlns:a16="http://schemas.microsoft.com/office/drawing/2014/main" id="{E5302CBF-3CFC-42D8-B2F5-F9F6A464349C}"/>
                  </a:ext>
                </a:extLst>
              </xdr:cNvPr>
              <xdr:cNvSpPr/>
            </xdr:nvSpPr>
            <xdr:spPr>
              <a:xfrm>
                <a:off x="6822281" y="511971"/>
                <a:ext cx="3750470" cy="476248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chemeClr val="accent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4DCF1C81-1A6E-4094-A4BD-A746724560C7}"/>
                </a:ext>
              </a:extLst>
            </xdr:cNvPr>
            <xdr:cNvGraphicFramePr>
              <a:graphicFrameLocks/>
            </xdr:cNvGraphicFramePr>
          </xdr:nvGraphicFramePr>
          <xdr:xfrm>
            <a:off x="1928812" y="369094"/>
            <a:ext cx="4571999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B56BABFF-2796-4799-8E5E-78E71722A154}"/>
                </a:ext>
              </a:extLst>
            </xdr:cNvPr>
            <xdr:cNvSpPr txBox="1"/>
          </xdr:nvSpPr>
          <xdr:spPr>
            <a:xfrm>
              <a:off x="3548061" y="547687"/>
              <a:ext cx="3536157" cy="44053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Entrada</a:t>
              </a:r>
            </a:p>
          </xdr:txBody>
        </xdr:sp>
      </xdr:grpSp>
      <xdr:pic>
        <xdr:nvPicPr>
          <xdr:cNvPr id="33" name="Gráfico 32" descr="Registrar">
            <a:extLst>
              <a:ext uri="{FF2B5EF4-FFF2-40B4-BE49-F238E27FC236}">
                <a16:creationId xmlns:a16="http://schemas.microsoft.com/office/drawing/2014/main" id="{E634D7BB-E751-47A6-B79F-40828EE0FC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2568486" y="202369"/>
            <a:ext cx="476288" cy="476288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2536030</xdr:colOff>
      <xdr:row>20</xdr:row>
      <xdr:rowOff>59531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Meses">
              <a:extLst>
                <a:ext uri="{FF2B5EF4-FFF2-40B4-BE49-F238E27FC236}">
                  <a16:creationId xmlns:a16="http://schemas.microsoft.com/office/drawing/2014/main" id="{C8CB18FC-C800-40CC-845A-1D88F159C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05000"/>
              <a:ext cx="2536030" cy="103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21430</xdr:colOff>
      <xdr:row>3</xdr:row>
      <xdr:rowOff>95250</xdr:rowOff>
    </xdr:from>
    <xdr:to>
      <xdr:col>16</xdr:col>
      <xdr:colOff>285750</xdr:colOff>
      <xdr:row>5</xdr:row>
      <xdr:rowOff>71437</xdr:rowOff>
    </xdr:to>
    <xdr:grpSp>
      <xdr:nvGrpSpPr>
        <xdr:cNvPr id="53" name="Agrupar 5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2A130B9-DC70-4089-8954-1611F3B6BB2A}"/>
            </a:ext>
          </a:extLst>
        </xdr:cNvPr>
        <xdr:cNvGrpSpPr/>
      </xdr:nvGrpSpPr>
      <xdr:grpSpPr>
        <a:xfrm>
          <a:off x="8022430" y="666750"/>
          <a:ext cx="3907633" cy="357187"/>
          <a:chOff x="7319961" y="476250"/>
          <a:chExt cx="3907633" cy="357187"/>
        </a:xfrm>
      </xdr:grpSpPr>
      <xdr:sp macro="" textlink="">
        <xdr:nvSpPr>
          <xdr:cNvPr id="50" name="Retângulo: Cantos Arredondados 49">
            <a:extLst>
              <a:ext uri="{FF2B5EF4-FFF2-40B4-BE49-F238E27FC236}">
                <a16:creationId xmlns:a16="http://schemas.microsoft.com/office/drawing/2014/main" id="{28D93ECA-1796-4B33-A7C5-588D2AE154A3}"/>
              </a:ext>
            </a:extLst>
          </xdr:cNvPr>
          <xdr:cNvSpPr/>
        </xdr:nvSpPr>
        <xdr:spPr>
          <a:xfrm>
            <a:off x="7319961" y="476250"/>
            <a:ext cx="3907633" cy="357187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100">
                <a:solidFill>
                  <a:schemeClr val="bg1">
                    <a:lumMod val="50000"/>
                  </a:schemeClr>
                </a:solidFill>
              </a:rPr>
              <a:t>Pesquisar dados...</a:t>
            </a:r>
          </a:p>
        </xdr:txBody>
      </xdr:sp>
      <xdr:pic>
        <xdr:nvPicPr>
          <xdr:cNvPr id="52" name="Gráfico 51" descr="Lupa">
            <a:extLst>
              <a:ext uri="{FF2B5EF4-FFF2-40B4-BE49-F238E27FC236}">
                <a16:creationId xmlns:a16="http://schemas.microsoft.com/office/drawing/2014/main" id="{0B6483BB-1B00-4A81-9096-1F6565828A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10772776" y="533401"/>
            <a:ext cx="240505" cy="24050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4762</xdr:colOff>
      <xdr:row>5</xdr:row>
      <xdr:rowOff>95250</xdr:rowOff>
    </xdr:to>
    <xdr:grpSp>
      <xdr:nvGrpSpPr>
        <xdr:cNvPr id="70" name="Agrupar 69">
          <a:extLst>
            <a:ext uri="{FF2B5EF4-FFF2-40B4-BE49-F238E27FC236}">
              <a16:creationId xmlns:a16="http://schemas.microsoft.com/office/drawing/2014/main" id="{C7F60322-15B9-4ACE-B1F9-067EC841D5CD}"/>
            </a:ext>
          </a:extLst>
        </xdr:cNvPr>
        <xdr:cNvGrpSpPr/>
      </xdr:nvGrpSpPr>
      <xdr:grpSpPr>
        <a:xfrm>
          <a:off x="0" y="381000"/>
          <a:ext cx="2540793" cy="666750"/>
          <a:chOff x="0" y="250031"/>
          <a:chExt cx="2540793" cy="666750"/>
        </a:xfrm>
      </xdr:grpSpPr>
      <xdr:sp macro="" textlink="">
        <xdr:nvSpPr>
          <xdr:cNvPr id="65" name="Retângulo: Cantos Arredondados 64">
            <a:extLst>
              <a:ext uri="{FF2B5EF4-FFF2-40B4-BE49-F238E27FC236}">
                <a16:creationId xmlns:a16="http://schemas.microsoft.com/office/drawing/2014/main" id="{DDE5E176-A5E6-4BF4-85F2-47ED6C4399BF}"/>
              </a:ext>
            </a:extLst>
          </xdr:cNvPr>
          <xdr:cNvSpPr/>
        </xdr:nvSpPr>
        <xdr:spPr>
          <a:xfrm>
            <a:off x="0" y="250031"/>
            <a:ext cx="2540793" cy="666750"/>
          </a:xfrm>
          <a:prstGeom prst="roundRect">
            <a:avLst>
              <a:gd name="adj" fmla="val 0"/>
            </a:avLst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Controle Financeiro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APP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69" name="Gráfico 68" descr="Dinheiro">
            <a:extLst>
              <a:ext uri="{FF2B5EF4-FFF2-40B4-BE49-F238E27FC236}">
                <a16:creationId xmlns:a16="http://schemas.microsoft.com/office/drawing/2014/main" id="{B360C75D-5E3C-46F9-B8E8-D64DFB765D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881188" y="261940"/>
            <a:ext cx="452436" cy="452436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107155</xdr:colOff>
      <xdr:row>9</xdr:row>
      <xdr:rowOff>11907</xdr:rowOff>
    </xdr:from>
    <xdr:to>
      <xdr:col>17</xdr:col>
      <xdr:colOff>369094</xdr:colOff>
      <xdr:row>26</xdr:row>
      <xdr:rowOff>23813</xdr:rowOff>
    </xdr:to>
    <xdr:grpSp>
      <xdr:nvGrpSpPr>
        <xdr:cNvPr id="108" name="Agrupar 107">
          <a:extLst>
            <a:ext uri="{FF2B5EF4-FFF2-40B4-BE49-F238E27FC236}">
              <a16:creationId xmlns:a16="http://schemas.microsoft.com/office/drawing/2014/main" id="{E72DA043-5AFE-445D-809A-FE5C7DAF456F}"/>
            </a:ext>
          </a:extLst>
        </xdr:cNvPr>
        <xdr:cNvGrpSpPr/>
      </xdr:nvGrpSpPr>
      <xdr:grpSpPr>
        <a:xfrm>
          <a:off x="8108155" y="1726407"/>
          <a:ext cx="4512470" cy="3250406"/>
          <a:chOff x="7881936" y="1726406"/>
          <a:chExt cx="4512470" cy="3298033"/>
        </a:xfrm>
      </xdr:grpSpPr>
      <xdr:sp macro="" textlink="">
        <xdr:nvSpPr>
          <xdr:cNvPr id="87" name="Retângulo: Cantos Arredondados 86">
            <a:extLst>
              <a:ext uri="{FF2B5EF4-FFF2-40B4-BE49-F238E27FC236}">
                <a16:creationId xmlns:a16="http://schemas.microsoft.com/office/drawing/2014/main" id="{3199FCFA-56B5-479A-A51D-928A5106FD21}"/>
              </a:ext>
            </a:extLst>
          </xdr:cNvPr>
          <xdr:cNvSpPr/>
        </xdr:nvSpPr>
        <xdr:spPr>
          <a:xfrm>
            <a:off x="7893843" y="1762127"/>
            <a:ext cx="4500563" cy="326231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01" name="Agrupar 100">
            <a:extLst>
              <a:ext uri="{FF2B5EF4-FFF2-40B4-BE49-F238E27FC236}">
                <a16:creationId xmlns:a16="http://schemas.microsoft.com/office/drawing/2014/main" id="{52436D99-EABD-471F-992A-355CD5321383}"/>
              </a:ext>
            </a:extLst>
          </xdr:cNvPr>
          <xdr:cNvGrpSpPr/>
        </xdr:nvGrpSpPr>
        <xdr:grpSpPr>
          <a:xfrm>
            <a:off x="7881936" y="1726406"/>
            <a:ext cx="4500095" cy="555711"/>
            <a:chOff x="7881936" y="1726406"/>
            <a:chExt cx="4500095" cy="555711"/>
          </a:xfrm>
        </xdr:grpSpPr>
        <xdr:sp macro="" textlink="">
          <xdr:nvSpPr>
            <xdr:cNvPr id="88" name="Retângulo: Cantos Superiores Arredondados 87">
              <a:extLst>
                <a:ext uri="{FF2B5EF4-FFF2-40B4-BE49-F238E27FC236}">
                  <a16:creationId xmlns:a16="http://schemas.microsoft.com/office/drawing/2014/main" id="{F4692F2E-BB25-47CF-9C5F-EC6E0730234C}"/>
                </a:ext>
              </a:extLst>
            </xdr:cNvPr>
            <xdr:cNvSpPr/>
          </xdr:nvSpPr>
          <xdr:spPr>
            <a:xfrm>
              <a:off x="7881936" y="1726406"/>
              <a:ext cx="4500095" cy="555711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89" name="CaixaDeTexto 88">
              <a:extLst>
                <a:ext uri="{FF2B5EF4-FFF2-40B4-BE49-F238E27FC236}">
                  <a16:creationId xmlns:a16="http://schemas.microsoft.com/office/drawing/2014/main" id="{B6CA661F-33F6-4BA2-8534-66B1F55A76F0}"/>
                </a:ext>
              </a:extLst>
            </xdr:cNvPr>
            <xdr:cNvSpPr txBox="1"/>
          </xdr:nvSpPr>
          <xdr:spPr>
            <a:xfrm>
              <a:off x="8846343" y="1762125"/>
              <a:ext cx="2875292" cy="44053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Economias</a:t>
              </a:r>
            </a:p>
          </xdr:txBody>
        </xdr:sp>
        <xdr:pic>
          <xdr:nvPicPr>
            <xdr:cNvPr id="90" name="Gráfico 89" descr="Cofrinho">
              <a:extLst>
                <a:ext uri="{FF2B5EF4-FFF2-40B4-BE49-F238E27FC236}">
                  <a16:creationId xmlns:a16="http://schemas.microsoft.com/office/drawing/2014/main" id="{A6410D08-94EB-4BEF-B452-DAB1A1E7FD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5"/>
                </a:ext>
              </a:extLst>
            </a:blip>
            <a:srcRect/>
            <a:stretch/>
          </xdr:blipFill>
          <xdr:spPr>
            <a:xfrm>
              <a:off x="8250867" y="1738312"/>
              <a:ext cx="476288" cy="476288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11</xdr:col>
      <xdr:colOff>11905</xdr:colOff>
      <xdr:row>11</xdr:row>
      <xdr:rowOff>166688</xdr:rowOff>
    </xdr:from>
    <xdr:to>
      <xdr:col>16</xdr:col>
      <xdr:colOff>195261</xdr:colOff>
      <xdr:row>24</xdr:row>
      <xdr:rowOff>171450</xdr:rowOff>
    </xdr:to>
    <xdr:graphicFrame macro="">
      <xdr:nvGraphicFramePr>
        <xdr:cNvPr id="111" name="Gráfico 110">
          <a:extLst>
            <a:ext uri="{FF2B5EF4-FFF2-40B4-BE49-F238E27FC236}">
              <a16:creationId xmlns:a16="http://schemas.microsoft.com/office/drawing/2014/main" id="{4DBB71FD-A0DF-4A84-94A5-7F2CA1AD0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-10" refreshedDate="45669.935233217591" createdVersion="7" refreshedVersion="7" minRefreshableVersion="3" recordCount="56" xr:uid="{DD9F2E4C-409B-49F7-96D4-F4A998340EBE}">
  <cacheSource type="worksheet">
    <worksheetSource name="tbl_dados"/>
  </cacheSource>
  <cacheFields count="8">
    <cacheField name="Data" numFmtId="14">
      <sharedItems containsSemiMixedTypes="0" containsNonDate="0" containsDate="1" containsString="0" minDate="2024-08-01T00:00:00" maxDate="2025-02-23T00:00:00"/>
    </cacheField>
    <cacheField name="Mês" numFmtId="1">
      <sharedItems containsSemiMixedTypes="0" containsString="0" containsNumber="1" containsInteger="1" minValue="1" maxValue="10" count="5">
        <n v="8"/>
        <n v="9"/>
        <n v="10"/>
        <n v="1"/>
        <n v="2"/>
      </sharedItems>
    </cacheField>
    <cacheField name="Tipo" numFmtId="0">
      <sharedItems count="2">
        <s v="ENTRADA"/>
        <s v="SAÍDA"/>
      </sharedItems>
    </cacheField>
    <cacheField name="Categoria" numFmtId="0">
      <sharedItems count="22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  <s v="Pet"/>
        <s v="Utilidade Doméstica"/>
        <s v="Investimento" u="1"/>
      </sharedItems>
    </cacheField>
    <cacheField name="Descrição" numFmtId="0">
      <sharedItems/>
    </cacheField>
    <cacheField name="Valor" numFmtId="0">
      <sharedItems containsSemiMixedTypes="0" containsString="0" containsNumber="1" containsInteger="1" minValue="65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6741407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d v="2024-08-01T00:00:00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8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  <r>
    <d v="2025-01-14T00:00:00"/>
    <x v="3"/>
    <x v="1"/>
    <x v="19"/>
    <s v="Produtos para o pet"/>
    <n v="65"/>
    <s v="Cartão de Crédito"/>
    <s v="Pago"/>
  </r>
  <r>
    <d v="2025-01-15T00:00:00"/>
    <x v="3"/>
    <x v="1"/>
    <x v="20"/>
    <s v="Utensílios de cozinha"/>
    <n v="85"/>
    <s v="Cartão de Débito"/>
    <s v="Pago"/>
  </r>
  <r>
    <d v="2025-01-16T00:00:00"/>
    <x v="3"/>
    <x v="1"/>
    <x v="4"/>
    <s v="Consulta com especialista"/>
    <n v="110"/>
    <s v="Cheque"/>
    <s v="Pago"/>
  </r>
  <r>
    <d v="2025-02-17T00:00:00"/>
    <x v="4"/>
    <x v="0"/>
    <x v="0"/>
    <s v="Salário mensal"/>
    <n v="1200"/>
    <s v="Transferência"/>
    <s v="Recebido"/>
  </r>
  <r>
    <d v="2025-02-18T00:00:00"/>
    <x v="4"/>
    <x v="1"/>
    <x v="14"/>
    <s v="Passagens e hospedagem"/>
    <n v="850"/>
    <s v="Cartão de Crédito"/>
    <s v="Pago"/>
  </r>
  <r>
    <d v="2025-02-19T00:00:00"/>
    <x v="4"/>
    <x v="1"/>
    <x v="1"/>
    <s v="Jantar em restaurante"/>
    <n v="200"/>
    <s v="Dinheiro"/>
    <s v="Pago"/>
  </r>
  <r>
    <d v="2025-01-20T00:00:00"/>
    <x v="3"/>
    <x v="0"/>
    <x v="0"/>
    <s v="Salário mensal"/>
    <n v="1200"/>
    <s v="Transferência"/>
    <s v="Recebido"/>
  </r>
  <r>
    <d v="2025-01-21T00:00:00"/>
    <x v="3"/>
    <x v="1"/>
    <x v="1"/>
    <s v="Mercado da semana"/>
    <n v="160"/>
    <s v="Cartão de Crédito"/>
    <s v="Pago"/>
  </r>
  <r>
    <d v="2025-02-22T00:00:00"/>
    <x v="4"/>
    <x v="1"/>
    <x v="4"/>
    <s v="Consulta e medicamentos"/>
    <n v="125"/>
    <s v="Cartão de Débito"/>
    <s v="Pago"/>
  </r>
  <r>
    <d v="2025-01-23T00:00:00"/>
    <x v="3"/>
    <x v="0"/>
    <x v="0"/>
    <s v="Salário mensal"/>
    <n v="1200"/>
    <s v="Transferência"/>
    <s v="Recebido"/>
  </r>
  <r>
    <d v="2025-01-24T00:00:00"/>
    <x v="3"/>
    <x v="1"/>
    <x v="5"/>
    <s v="Mensalidade da escola"/>
    <n v="460"/>
    <s v="Débito Automático"/>
    <s v="Pago"/>
  </r>
  <r>
    <d v="2025-01-25T00:00:00"/>
    <x v="3"/>
    <x v="1"/>
    <x v="3"/>
    <s v="Jantar e passeio"/>
    <n v="230"/>
    <s v="Dinheiro"/>
    <s v="Pag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2D782-C070-457E-BF85-B7D69CC1019E}" name="tbl_entrada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0">
  <location ref="F3:G5" firstHeaderRow="1" firstDataRow="1" firstDataCol="1" rowPageCount="1" colPageCount="1"/>
  <pivotFields count="8">
    <pivotField numFmtId="14" showAll="0"/>
    <pivotField numFmtId="1" showAll="0">
      <items count="6">
        <item h="1" x="3"/>
        <item x="4"/>
        <item h="1" x="0"/>
        <item h="1"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3">
        <item x="1"/>
        <item x="5"/>
        <item x="3"/>
        <item x="19"/>
        <item x="0"/>
        <item x="4"/>
        <item x="20"/>
        <item x="6"/>
        <item x="14"/>
        <item m="1" x="21"/>
        <item x="2"/>
        <item x="7"/>
        <item x="8"/>
        <item x="9"/>
        <item x="10"/>
        <item x="11"/>
        <item x="12"/>
        <item x="13"/>
        <item x="15"/>
        <item x="16"/>
        <item x="17"/>
        <item x="18"/>
        <item t="default"/>
      </items>
    </pivotField>
    <pivotField showAll="0"/>
    <pivotField dataField="1" numFmtId="164" showAll="0"/>
    <pivotField showAll="0"/>
    <pivotField showAll="0"/>
  </pivotFields>
  <rowFields count="1">
    <field x="3"/>
  </rowFields>
  <rowItems count="2">
    <i>
      <x v="4"/>
    </i>
    <i t="grand">
      <x/>
    </i>
  </rowItems>
  <colItems count="1">
    <i/>
  </colItems>
  <pageFields count="1">
    <pageField fld="2" item="0" hier="-1"/>
  </pageFields>
  <dataFields count="1">
    <dataField name="Soma de Valor" fld="5" baseField="2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6CE80-B6FA-4392-BEDB-515B22A59B16}" name="tbl_saida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C3:D7" firstHeaderRow="1" firstDataRow="1" firstDataCol="1" rowPageCount="1" colPageCount="1"/>
  <pivotFields count="8">
    <pivotField numFmtId="14" showAll="0"/>
    <pivotField numFmtId="1" showAll="0">
      <items count="6">
        <item h="1" x="3"/>
        <item x="4"/>
        <item h="1" x="0"/>
        <item h="1"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3">
        <item x="1"/>
        <item x="5"/>
        <item x="3"/>
        <item x="19"/>
        <item x="0"/>
        <item x="4"/>
        <item x="20"/>
        <item x="6"/>
        <item x="14"/>
        <item m="1" x="21"/>
        <item x="2"/>
        <item x="7"/>
        <item x="8"/>
        <item x="9"/>
        <item x="10"/>
        <item x="11"/>
        <item x="12"/>
        <item x="13"/>
        <item x="15"/>
        <item x="16"/>
        <item x="17"/>
        <item x="18"/>
        <item t="default"/>
      </items>
    </pivotField>
    <pivotField showAll="0"/>
    <pivotField dataField="1" numFmtId="164" showAll="0"/>
    <pivotField showAll="0"/>
    <pivotField showAll="0"/>
  </pivotFields>
  <rowFields count="1">
    <field x="3"/>
  </rowFields>
  <rowItems count="4">
    <i>
      <x/>
    </i>
    <i>
      <x v="5"/>
    </i>
    <i>
      <x v="8"/>
    </i>
    <i t="grand">
      <x/>
    </i>
  </rowItems>
  <colItems count="1">
    <i/>
  </colItems>
  <pageFields count="1">
    <pageField fld="2" item="1" hier="-1"/>
  </pageFields>
  <dataFields count="1">
    <dataField name="Soma de Valor" fld="5" baseField="2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58D70AC3-9320-47D6-BC63-E6827A04A703}" sourceName="Mês">
  <pivotTables>
    <pivotTable tabId="2" name="tbl_saida"/>
    <pivotTable tabId="2" name="tbl_entrada"/>
  </pivotTables>
  <data>
    <tabular pivotCacheId="674140792">
      <items count="5">
        <i x="3"/>
        <i x="4" s="1"/>
        <i x="0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" xr10:uid="{E00F4ECD-151D-4590-A365-5AA6F0737E00}" cache="SegmentaçãodeDados_Mês" caption="MESES" style="My styl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8ADB4-96C4-47EF-9ACD-C6A5C2125DD6}" name="tbl_dados" displayName="tbl_dados" ref="A1:H57" totalsRowShown="0" dataDxfId="12">
  <autoFilter ref="A1:H57" xr:uid="{9F98ADB4-96C4-47EF-9ACD-C6A5C2125DD6}"/>
  <tableColumns count="8">
    <tableColumn id="1" xr3:uid="{F7795C0B-7AFC-400D-8B02-31D89E0A88AC}" name="Data" dataDxfId="2"/>
    <tableColumn id="9" xr3:uid="{1C213C71-59A3-4A82-82C5-C508EAB71D89}" name="Mês" dataDxfId="0">
      <calculatedColumnFormula>MONTH(tbl_dados[[#This Row],[Data]])</calculatedColumnFormula>
    </tableColumn>
    <tableColumn id="2" xr3:uid="{B259B899-5DC7-4551-928E-E114E9E61E09}" name="Tipo" dataDxfId="1"/>
    <tableColumn id="3" xr3:uid="{22018F12-2B3A-46CF-BA7D-A24FFECE76F8}" name="Categoria" dataDxfId="11"/>
    <tableColumn id="4" xr3:uid="{8198E8CE-16B7-41EB-9FF2-B6AFA9DB2D89}" name="Descrição" dataDxfId="10"/>
    <tableColumn id="5" xr3:uid="{27AE3156-C85E-4D37-80F3-8A301AD803A5}" name="Valor" dataDxfId="9"/>
    <tableColumn id="6" xr3:uid="{AD42D85C-03B0-4EED-9AB0-BDD638A41E67}" name="Operação Bancária" dataDxfId="8"/>
    <tableColumn id="7" xr3:uid="{A04F79BA-F2AE-43DF-AD9F-BCD55FCAC4DB}" name="Status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E2EF4-1D04-43DE-A24B-50736B8294F6}" name="Tabela2" displayName="Tabela2" ref="C6:D17" totalsRowShown="0" headerRowDxfId="6" dataDxfId="5">
  <autoFilter ref="C6:D17" xr:uid="{E96E2EF4-1D04-43DE-A24B-50736B8294F6}"/>
  <tableColumns count="2">
    <tableColumn id="1" xr3:uid="{77487856-636A-4F88-8D67-C098A2868EF3}" name="Data de lançamento" dataDxfId="4"/>
    <tableColumn id="2" xr3:uid="{90C95489-F857-4035-95FB-A25F366201B6}" name="Depósito Reservado " dataDxfId="3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32DB-7A9B-44E3-BA9D-DF2C17BF57AD}">
  <sheetPr>
    <tabColor rgb="FF0070C0"/>
  </sheetPr>
  <dimension ref="A1:H57"/>
  <sheetViews>
    <sheetView workbookViewId="0"/>
  </sheetViews>
  <sheetFormatPr defaultRowHeight="15" x14ac:dyDescent="0.25"/>
  <cols>
    <col min="1" max="1" width="10.7109375" bestFit="1" customWidth="1"/>
    <col min="2" max="2" width="10.7109375" style="9" customWidth="1"/>
    <col min="3" max="3" width="7.7109375" bestFit="1" customWidth="1"/>
    <col min="4" max="4" width="12.140625" bestFit="1" customWidth="1"/>
    <col min="5" max="5" width="14" bestFit="1" customWidth="1"/>
    <col min="6" max="6" width="11.5703125" bestFit="1" customWidth="1"/>
    <col min="7" max="7" width="19.85546875" bestFit="1" customWidth="1"/>
    <col min="8" max="8" width="9.28515625" bestFit="1" customWidth="1"/>
  </cols>
  <sheetData>
    <row r="1" spans="1:8" x14ac:dyDescent="0.25">
      <c r="A1" t="s">
        <v>0</v>
      </c>
      <c r="B1" s="9" t="s">
        <v>40</v>
      </c>
      <c r="C1" t="s">
        <v>1</v>
      </c>
      <c r="D1" t="s">
        <v>4</v>
      </c>
      <c r="E1" t="s">
        <v>2</v>
      </c>
      <c r="F1" t="s">
        <v>3</v>
      </c>
      <c r="G1" t="s">
        <v>6</v>
      </c>
      <c r="H1" t="s">
        <v>5</v>
      </c>
    </row>
    <row r="2" spans="1:8" ht="26.25" customHeight="1" x14ac:dyDescent="0.25">
      <c r="A2" s="16">
        <v>45505</v>
      </c>
      <c r="B2" s="19">
        <f>MONTH(tbl_dados[[#This Row],[Data]])</f>
        <v>8</v>
      </c>
      <c r="C2" s="17" t="s">
        <v>45</v>
      </c>
      <c r="D2" s="17" t="s">
        <v>46</v>
      </c>
      <c r="E2" s="17" t="s">
        <v>9</v>
      </c>
      <c r="F2" s="18">
        <v>5000</v>
      </c>
      <c r="G2" s="17" t="s">
        <v>10</v>
      </c>
      <c r="H2" s="17" t="s">
        <v>11</v>
      </c>
    </row>
    <row r="3" spans="1:8" ht="26.25" customHeight="1" x14ac:dyDescent="0.25">
      <c r="A3" s="16">
        <v>45505</v>
      </c>
      <c r="B3" s="19">
        <f>MONTH(tbl_dados[[#This Row],[Data]])</f>
        <v>8</v>
      </c>
      <c r="C3" s="17" t="s">
        <v>47</v>
      </c>
      <c r="D3" s="17" t="s">
        <v>13</v>
      </c>
      <c r="E3" s="17" t="s">
        <v>48</v>
      </c>
      <c r="F3" s="18">
        <v>550</v>
      </c>
      <c r="G3" s="17" t="s">
        <v>22</v>
      </c>
      <c r="H3" s="17" t="s">
        <v>49</v>
      </c>
    </row>
    <row r="4" spans="1:8" ht="26.25" customHeight="1" x14ac:dyDescent="0.25">
      <c r="A4" s="16">
        <v>45507</v>
      </c>
      <c r="B4" s="19">
        <f>MONTH(tbl_dados[[#This Row],[Data]])</f>
        <v>8</v>
      </c>
      <c r="C4" s="17" t="s">
        <v>47</v>
      </c>
      <c r="D4" s="17" t="s">
        <v>50</v>
      </c>
      <c r="E4" s="17" t="s">
        <v>51</v>
      </c>
      <c r="F4" s="18">
        <v>300</v>
      </c>
      <c r="G4" s="17" t="s">
        <v>14</v>
      </c>
      <c r="H4" s="17" t="s">
        <v>15</v>
      </c>
    </row>
    <row r="5" spans="1:8" ht="26.25" customHeight="1" x14ac:dyDescent="0.25">
      <c r="A5" s="16">
        <v>45509</v>
      </c>
      <c r="B5" s="19">
        <f>MONTH(tbl_dados[[#This Row],[Data]])</f>
        <v>8</v>
      </c>
      <c r="C5" s="17" t="s">
        <v>47</v>
      </c>
      <c r="D5" s="17" t="s">
        <v>16</v>
      </c>
      <c r="E5" s="17" t="s">
        <v>52</v>
      </c>
      <c r="F5" s="18">
        <v>120</v>
      </c>
      <c r="G5" s="17" t="s">
        <v>14</v>
      </c>
      <c r="H5" s="17" t="s">
        <v>15</v>
      </c>
    </row>
    <row r="6" spans="1:8" ht="26.25" customHeight="1" x14ac:dyDescent="0.25">
      <c r="A6" s="16">
        <v>45511</v>
      </c>
      <c r="B6" s="19">
        <f>MONTH(tbl_dados[[#This Row],[Data]])</f>
        <v>8</v>
      </c>
      <c r="C6" s="17" t="s">
        <v>47</v>
      </c>
      <c r="D6" s="17" t="s">
        <v>18</v>
      </c>
      <c r="E6" s="17" t="s">
        <v>53</v>
      </c>
      <c r="F6" s="18">
        <v>250</v>
      </c>
      <c r="G6" s="17" t="s">
        <v>10</v>
      </c>
      <c r="H6" s="17" t="s">
        <v>15</v>
      </c>
    </row>
    <row r="7" spans="1:8" ht="26.25" customHeight="1" x14ac:dyDescent="0.25">
      <c r="A7" s="16">
        <v>45514</v>
      </c>
      <c r="B7" s="19">
        <f>MONTH(tbl_dados[[#This Row],[Data]])</f>
        <v>8</v>
      </c>
      <c r="C7" s="17" t="s">
        <v>47</v>
      </c>
      <c r="D7" s="17" t="s">
        <v>21</v>
      </c>
      <c r="E7" s="17" t="s">
        <v>54</v>
      </c>
      <c r="F7" s="18">
        <v>400</v>
      </c>
      <c r="G7" s="17" t="s">
        <v>22</v>
      </c>
      <c r="H7" s="17" t="s">
        <v>49</v>
      </c>
    </row>
    <row r="8" spans="1:8" ht="26.25" customHeight="1" x14ac:dyDescent="0.25">
      <c r="A8" s="16">
        <v>45516</v>
      </c>
      <c r="B8" s="19">
        <f>MONTH(tbl_dados[[#This Row],[Data]])</f>
        <v>8</v>
      </c>
      <c r="C8" s="17" t="s">
        <v>47</v>
      </c>
      <c r="D8" s="17" t="s">
        <v>20</v>
      </c>
      <c r="E8" s="17" t="s">
        <v>55</v>
      </c>
      <c r="F8" s="18">
        <v>600</v>
      </c>
      <c r="G8" s="17" t="s">
        <v>14</v>
      </c>
      <c r="H8" s="17" t="s">
        <v>49</v>
      </c>
    </row>
    <row r="9" spans="1:8" ht="26.25" customHeight="1" x14ac:dyDescent="0.25">
      <c r="A9" s="16">
        <v>45519</v>
      </c>
      <c r="B9" s="19">
        <f>MONTH(tbl_dados[[#This Row],[Data]])</f>
        <v>8</v>
      </c>
      <c r="C9" s="17" t="s">
        <v>45</v>
      </c>
      <c r="D9" s="17" t="s">
        <v>56</v>
      </c>
      <c r="E9" s="17" t="s">
        <v>57</v>
      </c>
      <c r="F9" s="18">
        <v>800</v>
      </c>
      <c r="G9" s="17" t="s">
        <v>10</v>
      </c>
      <c r="H9" s="17" t="s">
        <v>11</v>
      </c>
    </row>
    <row r="10" spans="1:8" ht="26.25" customHeight="1" x14ac:dyDescent="0.25">
      <c r="A10" s="16">
        <v>45519</v>
      </c>
      <c r="B10" s="19">
        <f>MONTH(tbl_dados[[#This Row],[Data]])</f>
        <v>8</v>
      </c>
      <c r="C10" s="17" t="s">
        <v>47</v>
      </c>
      <c r="D10" s="17" t="s">
        <v>58</v>
      </c>
      <c r="E10" s="17" t="s">
        <v>59</v>
      </c>
      <c r="F10" s="18">
        <v>150</v>
      </c>
      <c r="G10" s="17" t="s">
        <v>10</v>
      </c>
      <c r="H10" s="17" t="s">
        <v>15</v>
      </c>
    </row>
    <row r="11" spans="1:8" ht="26.25" customHeight="1" x14ac:dyDescent="0.25">
      <c r="A11" s="16">
        <v>45522</v>
      </c>
      <c r="B11" s="19">
        <f>MONTH(tbl_dados[[#This Row],[Data]])</f>
        <v>8</v>
      </c>
      <c r="C11" s="17" t="s">
        <v>47</v>
      </c>
      <c r="D11" s="17" t="s">
        <v>60</v>
      </c>
      <c r="E11" s="17" t="s">
        <v>61</v>
      </c>
      <c r="F11" s="18">
        <v>1200</v>
      </c>
      <c r="G11" s="17" t="s">
        <v>14</v>
      </c>
      <c r="H11" s="17" t="s">
        <v>49</v>
      </c>
    </row>
    <row r="12" spans="1:8" ht="26.25" customHeight="1" x14ac:dyDescent="0.25">
      <c r="A12" s="16">
        <v>45524</v>
      </c>
      <c r="B12" s="19">
        <f>MONTH(tbl_dados[[#This Row],[Data]])</f>
        <v>8</v>
      </c>
      <c r="C12" s="17" t="s">
        <v>47</v>
      </c>
      <c r="D12" s="17" t="s">
        <v>62</v>
      </c>
      <c r="E12" s="17" t="s">
        <v>63</v>
      </c>
      <c r="F12" s="18">
        <v>450</v>
      </c>
      <c r="G12" s="17" t="s">
        <v>22</v>
      </c>
      <c r="H12" s="17" t="s">
        <v>15</v>
      </c>
    </row>
    <row r="13" spans="1:8" ht="26.25" customHeight="1" x14ac:dyDescent="0.25">
      <c r="A13" s="16">
        <v>45526</v>
      </c>
      <c r="B13" s="19">
        <f>MONTH(tbl_dados[[#This Row],[Data]])</f>
        <v>8</v>
      </c>
      <c r="C13" s="17" t="s">
        <v>47</v>
      </c>
      <c r="D13" s="17" t="s">
        <v>64</v>
      </c>
      <c r="E13" s="17" t="s">
        <v>65</v>
      </c>
      <c r="F13" s="18">
        <v>180</v>
      </c>
      <c r="G13" s="17" t="s">
        <v>10</v>
      </c>
      <c r="H13" s="17" t="s">
        <v>49</v>
      </c>
    </row>
    <row r="14" spans="1:8" ht="26.25" customHeight="1" x14ac:dyDescent="0.25">
      <c r="A14" s="16">
        <v>45528</v>
      </c>
      <c r="B14" s="19">
        <f>MONTH(tbl_dados[[#This Row],[Data]])</f>
        <v>8</v>
      </c>
      <c r="C14" s="17" t="s">
        <v>47</v>
      </c>
      <c r="D14" s="17" t="s">
        <v>66</v>
      </c>
      <c r="E14" s="17" t="s">
        <v>67</v>
      </c>
      <c r="F14" s="18">
        <v>80</v>
      </c>
      <c r="G14" s="17" t="s">
        <v>22</v>
      </c>
      <c r="H14" s="17" t="s">
        <v>15</v>
      </c>
    </row>
    <row r="15" spans="1:8" ht="26.25" customHeight="1" x14ac:dyDescent="0.25">
      <c r="A15" s="16">
        <v>45532</v>
      </c>
      <c r="B15" s="19">
        <f>MONTH(tbl_dados[[#This Row],[Data]])</f>
        <v>8</v>
      </c>
      <c r="C15" s="17" t="s">
        <v>47</v>
      </c>
      <c r="D15" s="17" t="s">
        <v>68</v>
      </c>
      <c r="E15" s="17" t="s">
        <v>69</v>
      </c>
      <c r="F15" s="18">
        <v>200</v>
      </c>
      <c r="G15" s="17" t="s">
        <v>22</v>
      </c>
      <c r="H15" s="17" t="s">
        <v>15</v>
      </c>
    </row>
    <row r="16" spans="1:8" ht="26.25" customHeight="1" x14ac:dyDescent="0.25">
      <c r="A16" s="16">
        <v>45534</v>
      </c>
      <c r="B16" s="19">
        <f>MONTH(tbl_dados[[#This Row],[Data]])</f>
        <v>8</v>
      </c>
      <c r="C16" s="17" t="s">
        <v>47</v>
      </c>
      <c r="D16" s="17" t="s">
        <v>26</v>
      </c>
      <c r="E16" s="17" t="s">
        <v>70</v>
      </c>
      <c r="F16" s="18">
        <v>750</v>
      </c>
      <c r="G16" s="17" t="s">
        <v>10</v>
      </c>
      <c r="H16" s="17" t="s">
        <v>49</v>
      </c>
    </row>
    <row r="17" spans="1:8" ht="26.25" customHeight="1" x14ac:dyDescent="0.25">
      <c r="A17" s="16">
        <v>45535</v>
      </c>
      <c r="B17" s="19">
        <f>MONTH(tbl_dados[[#This Row],[Data]])</f>
        <v>8</v>
      </c>
      <c r="C17" s="17" t="s">
        <v>47</v>
      </c>
      <c r="D17" s="17" t="s">
        <v>71</v>
      </c>
      <c r="E17" s="17" t="s">
        <v>72</v>
      </c>
      <c r="F17" s="18">
        <v>350</v>
      </c>
      <c r="G17" s="17" t="s">
        <v>14</v>
      </c>
      <c r="H17" s="17" t="s">
        <v>15</v>
      </c>
    </row>
    <row r="18" spans="1:8" ht="26.25" customHeight="1" x14ac:dyDescent="0.25">
      <c r="A18" s="16">
        <v>45536</v>
      </c>
      <c r="B18" s="19">
        <f>MONTH(tbl_dados[[#This Row],[Data]])</f>
        <v>9</v>
      </c>
      <c r="C18" s="17" t="s">
        <v>45</v>
      </c>
      <c r="D18" s="17" t="s">
        <v>46</v>
      </c>
      <c r="E18" s="17" t="s">
        <v>9</v>
      </c>
      <c r="F18" s="18">
        <v>5000</v>
      </c>
      <c r="G18" s="17" t="s">
        <v>10</v>
      </c>
      <c r="H18" s="17" t="s">
        <v>11</v>
      </c>
    </row>
    <row r="19" spans="1:8" ht="26.25" customHeight="1" x14ac:dyDescent="0.25">
      <c r="A19" s="16">
        <v>45537</v>
      </c>
      <c r="B19" s="19">
        <f>MONTH(tbl_dados[[#This Row],[Data]])</f>
        <v>9</v>
      </c>
      <c r="C19" s="17" t="s">
        <v>47</v>
      </c>
      <c r="D19" s="17" t="s">
        <v>13</v>
      </c>
      <c r="E19" s="18" t="s">
        <v>48</v>
      </c>
      <c r="F19" s="18">
        <v>450</v>
      </c>
      <c r="G19" s="17" t="s">
        <v>22</v>
      </c>
      <c r="H19" s="17" t="s">
        <v>49</v>
      </c>
    </row>
    <row r="20" spans="1:8" ht="26.25" customHeight="1" x14ac:dyDescent="0.25">
      <c r="A20" s="16">
        <v>45540</v>
      </c>
      <c r="B20" s="19">
        <f>MONTH(tbl_dados[[#This Row],[Data]])</f>
        <v>9</v>
      </c>
      <c r="C20" s="17" t="s">
        <v>47</v>
      </c>
      <c r="D20" s="17" t="s">
        <v>50</v>
      </c>
      <c r="E20" s="18" t="s">
        <v>51</v>
      </c>
      <c r="F20" s="18">
        <v>300</v>
      </c>
      <c r="G20" s="17" t="s">
        <v>22</v>
      </c>
      <c r="H20" s="17" t="s">
        <v>15</v>
      </c>
    </row>
    <row r="21" spans="1:8" ht="26.25" customHeight="1" x14ac:dyDescent="0.25">
      <c r="A21" s="16">
        <v>45543</v>
      </c>
      <c r="B21" s="19">
        <f>MONTH(tbl_dados[[#This Row],[Data]])</f>
        <v>9</v>
      </c>
      <c r="C21" s="17" t="s">
        <v>47</v>
      </c>
      <c r="D21" s="17" t="s">
        <v>16</v>
      </c>
      <c r="E21" s="18" t="s">
        <v>73</v>
      </c>
      <c r="F21" s="18">
        <v>200</v>
      </c>
      <c r="G21" s="17" t="s">
        <v>10</v>
      </c>
      <c r="H21" s="17" t="s">
        <v>15</v>
      </c>
    </row>
    <row r="22" spans="1:8" ht="26.25" customHeight="1" x14ac:dyDescent="0.25">
      <c r="A22" s="16">
        <v>45546</v>
      </c>
      <c r="B22" s="19">
        <f>MONTH(tbl_dados[[#This Row],[Data]])</f>
        <v>9</v>
      </c>
      <c r="C22" s="17" t="s">
        <v>47</v>
      </c>
      <c r="D22" s="17" t="s">
        <v>18</v>
      </c>
      <c r="E22" s="18" t="s">
        <v>74</v>
      </c>
      <c r="F22" s="18">
        <v>600</v>
      </c>
      <c r="G22" s="17" t="s">
        <v>22</v>
      </c>
      <c r="H22" s="17" t="s">
        <v>49</v>
      </c>
    </row>
    <row r="23" spans="1:8" ht="26.25" customHeight="1" x14ac:dyDescent="0.25">
      <c r="A23" s="16">
        <v>45549</v>
      </c>
      <c r="B23" s="19">
        <f>MONTH(tbl_dados[[#This Row],[Data]])</f>
        <v>9</v>
      </c>
      <c r="C23" s="17" t="s">
        <v>47</v>
      </c>
      <c r="D23" s="17" t="s">
        <v>21</v>
      </c>
      <c r="E23" s="18" t="s">
        <v>54</v>
      </c>
      <c r="F23" s="18">
        <v>350</v>
      </c>
      <c r="G23" s="17" t="s">
        <v>10</v>
      </c>
      <c r="H23" s="17" t="s">
        <v>15</v>
      </c>
    </row>
    <row r="24" spans="1:8" ht="26.25" customHeight="1" x14ac:dyDescent="0.25">
      <c r="A24" s="16">
        <v>45552</v>
      </c>
      <c r="B24" s="19">
        <f>MONTH(tbl_dados[[#This Row],[Data]])</f>
        <v>9</v>
      </c>
      <c r="C24" s="17" t="s">
        <v>47</v>
      </c>
      <c r="D24" s="17" t="s">
        <v>20</v>
      </c>
      <c r="E24" s="18" t="s">
        <v>75</v>
      </c>
      <c r="F24" s="18">
        <v>500</v>
      </c>
      <c r="G24" s="17" t="s">
        <v>14</v>
      </c>
      <c r="H24" s="17" t="s">
        <v>49</v>
      </c>
    </row>
    <row r="25" spans="1:8" ht="26.25" customHeight="1" x14ac:dyDescent="0.25">
      <c r="A25" s="16">
        <v>45555</v>
      </c>
      <c r="B25" s="19">
        <f>MONTH(tbl_dados[[#This Row],[Data]])</f>
        <v>9</v>
      </c>
      <c r="C25" s="17" t="s">
        <v>45</v>
      </c>
      <c r="D25" s="17" t="s">
        <v>76</v>
      </c>
      <c r="E25" s="17" t="s">
        <v>77</v>
      </c>
      <c r="F25" s="18">
        <v>1200</v>
      </c>
      <c r="G25" s="17" t="s">
        <v>10</v>
      </c>
      <c r="H25" s="17" t="s">
        <v>11</v>
      </c>
    </row>
    <row r="26" spans="1:8" ht="26.25" customHeight="1" x14ac:dyDescent="0.25">
      <c r="A26" s="16">
        <v>45555</v>
      </c>
      <c r="B26" s="19">
        <f>MONTH(tbl_dados[[#This Row],[Data]])</f>
        <v>9</v>
      </c>
      <c r="C26" s="17" t="s">
        <v>47</v>
      </c>
      <c r="D26" s="17" t="s">
        <v>58</v>
      </c>
      <c r="E26" s="18" t="s">
        <v>78</v>
      </c>
      <c r="F26" s="18">
        <v>800</v>
      </c>
      <c r="G26" s="17" t="s">
        <v>10</v>
      </c>
      <c r="H26" s="17" t="s">
        <v>15</v>
      </c>
    </row>
    <row r="27" spans="1:8" ht="26.25" customHeight="1" x14ac:dyDescent="0.25">
      <c r="A27" s="16">
        <v>45558</v>
      </c>
      <c r="B27" s="19">
        <f>MONTH(tbl_dados[[#This Row],[Data]])</f>
        <v>9</v>
      </c>
      <c r="C27" s="17" t="s">
        <v>47</v>
      </c>
      <c r="D27" s="17" t="s">
        <v>60</v>
      </c>
      <c r="E27" s="18" t="s">
        <v>79</v>
      </c>
      <c r="F27" s="18">
        <v>1500</v>
      </c>
      <c r="G27" s="17" t="s">
        <v>14</v>
      </c>
      <c r="H27" s="17" t="s">
        <v>49</v>
      </c>
    </row>
    <row r="28" spans="1:8" ht="26.25" customHeight="1" x14ac:dyDescent="0.25">
      <c r="A28" s="16">
        <v>45561</v>
      </c>
      <c r="B28" s="19">
        <f>MONTH(tbl_dados[[#This Row],[Data]])</f>
        <v>9</v>
      </c>
      <c r="C28" s="17" t="s">
        <v>47</v>
      </c>
      <c r="D28" s="17" t="s">
        <v>80</v>
      </c>
      <c r="E28" s="18" t="s">
        <v>81</v>
      </c>
      <c r="F28" s="18">
        <v>250</v>
      </c>
      <c r="G28" s="17" t="s">
        <v>22</v>
      </c>
      <c r="H28" s="17" t="s">
        <v>15</v>
      </c>
    </row>
    <row r="29" spans="1:8" ht="26.25" customHeight="1" x14ac:dyDescent="0.25">
      <c r="A29" s="16">
        <v>45564</v>
      </c>
      <c r="B29" s="19">
        <f>MONTH(tbl_dados[[#This Row],[Data]])</f>
        <v>9</v>
      </c>
      <c r="C29" s="17" t="s">
        <v>47</v>
      </c>
      <c r="D29" s="17" t="s">
        <v>64</v>
      </c>
      <c r="E29" s="18" t="s">
        <v>82</v>
      </c>
      <c r="F29" s="18">
        <v>400</v>
      </c>
      <c r="G29" s="17" t="s">
        <v>14</v>
      </c>
      <c r="H29" s="17" t="s">
        <v>49</v>
      </c>
    </row>
    <row r="30" spans="1:8" ht="26.25" customHeight="1" x14ac:dyDescent="0.25">
      <c r="A30" s="16">
        <v>45566</v>
      </c>
      <c r="B30" s="19">
        <f>MONTH(tbl_dados[[#This Row],[Data]])</f>
        <v>10</v>
      </c>
      <c r="C30" s="17" t="s">
        <v>45</v>
      </c>
      <c r="D30" s="17" t="s">
        <v>46</v>
      </c>
      <c r="E30" s="17" t="s">
        <v>9</v>
      </c>
      <c r="F30" s="18">
        <v>5000</v>
      </c>
      <c r="G30" s="17" t="s">
        <v>10</v>
      </c>
      <c r="H30" s="17" t="s">
        <v>11</v>
      </c>
    </row>
    <row r="31" spans="1:8" ht="26.25" customHeight="1" x14ac:dyDescent="0.25">
      <c r="A31" s="16">
        <v>45566</v>
      </c>
      <c r="B31" s="19">
        <f>MONTH(tbl_dados[[#This Row],[Data]])</f>
        <v>10</v>
      </c>
      <c r="C31" s="17" t="s">
        <v>47</v>
      </c>
      <c r="D31" s="17" t="s">
        <v>13</v>
      </c>
      <c r="E31" s="17" t="s">
        <v>48</v>
      </c>
      <c r="F31" s="18">
        <v>600</v>
      </c>
      <c r="G31" s="17" t="s">
        <v>22</v>
      </c>
      <c r="H31" s="17" t="s">
        <v>49</v>
      </c>
    </row>
    <row r="32" spans="1:8" ht="26.25" customHeight="1" x14ac:dyDescent="0.25">
      <c r="A32" s="16">
        <v>45568</v>
      </c>
      <c r="B32" s="19">
        <f>MONTH(tbl_dados[[#This Row],[Data]])</f>
        <v>10</v>
      </c>
      <c r="C32" s="17" t="s">
        <v>47</v>
      </c>
      <c r="D32" s="17" t="s">
        <v>50</v>
      </c>
      <c r="E32" s="17" t="s">
        <v>83</v>
      </c>
      <c r="F32" s="18">
        <v>200</v>
      </c>
      <c r="G32" s="17" t="s">
        <v>14</v>
      </c>
      <c r="H32" s="17" t="s">
        <v>15</v>
      </c>
    </row>
    <row r="33" spans="1:8" ht="26.25" customHeight="1" x14ac:dyDescent="0.25">
      <c r="A33" s="16">
        <v>45570</v>
      </c>
      <c r="B33" s="19">
        <f>MONTH(tbl_dados[[#This Row],[Data]])</f>
        <v>10</v>
      </c>
      <c r="C33" s="17" t="s">
        <v>47</v>
      </c>
      <c r="D33" s="17" t="s">
        <v>16</v>
      </c>
      <c r="E33" s="17" t="s">
        <v>84</v>
      </c>
      <c r="F33" s="18">
        <v>180</v>
      </c>
      <c r="G33" s="17" t="s">
        <v>10</v>
      </c>
      <c r="H33" s="17" t="s">
        <v>15</v>
      </c>
    </row>
    <row r="34" spans="1:8" ht="26.25" customHeight="1" x14ac:dyDescent="0.25">
      <c r="A34" s="16">
        <v>45573</v>
      </c>
      <c r="B34" s="19">
        <f>MONTH(tbl_dados[[#This Row],[Data]])</f>
        <v>10</v>
      </c>
      <c r="C34" s="17" t="s">
        <v>47</v>
      </c>
      <c r="D34" s="17" t="s">
        <v>18</v>
      </c>
      <c r="E34" s="17" t="s">
        <v>85</v>
      </c>
      <c r="F34" s="18">
        <v>120</v>
      </c>
      <c r="G34" s="17" t="s">
        <v>22</v>
      </c>
      <c r="H34" s="17" t="s">
        <v>49</v>
      </c>
    </row>
    <row r="35" spans="1:8" ht="26.25" customHeight="1" x14ac:dyDescent="0.25">
      <c r="A35" s="16">
        <v>45575</v>
      </c>
      <c r="B35" s="19">
        <f>MONTH(tbl_dados[[#This Row],[Data]])</f>
        <v>10</v>
      </c>
      <c r="C35" s="17" t="s">
        <v>47</v>
      </c>
      <c r="D35" s="17" t="s">
        <v>21</v>
      </c>
      <c r="E35" s="17" t="s">
        <v>28</v>
      </c>
      <c r="F35" s="18">
        <v>350</v>
      </c>
      <c r="G35" s="17" t="s">
        <v>14</v>
      </c>
      <c r="H35" s="17" t="s">
        <v>49</v>
      </c>
    </row>
    <row r="36" spans="1:8" ht="26.25" customHeight="1" x14ac:dyDescent="0.25">
      <c r="A36" s="16">
        <v>45578</v>
      </c>
      <c r="B36" s="19">
        <f>MONTH(tbl_dados[[#This Row],[Data]])</f>
        <v>10</v>
      </c>
      <c r="C36" s="17" t="s">
        <v>47</v>
      </c>
      <c r="D36" s="17" t="s">
        <v>20</v>
      </c>
      <c r="E36" s="17" t="s">
        <v>86</v>
      </c>
      <c r="F36" s="18">
        <v>400</v>
      </c>
      <c r="G36" s="17" t="s">
        <v>10</v>
      </c>
      <c r="H36" s="17" t="s">
        <v>15</v>
      </c>
    </row>
    <row r="37" spans="1:8" ht="26.25" customHeight="1" x14ac:dyDescent="0.25">
      <c r="A37" s="16">
        <v>45580</v>
      </c>
      <c r="B37" s="19">
        <f>MONTH(tbl_dados[[#This Row],[Data]])</f>
        <v>10</v>
      </c>
      <c r="C37" s="17" t="s">
        <v>47</v>
      </c>
      <c r="D37" s="17" t="s">
        <v>58</v>
      </c>
      <c r="E37" s="17" t="s">
        <v>87</v>
      </c>
      <c r="F37" s="18">
        <v>450</v>
      </c>
      <c r="G37" s="17" t="s">
        <v>22</v>
      </c>
      <c r="H37" s="17" t="s">
        <v>15</v>
      </c>
    </row>
    <row r="38" spans="1:8" ht="26.25" customHeight="1" x14ac:dyDescent="0.25">
      <c r="A38" s="16">
        <v>45583</v>
      </c>
      <c r="B38" s="19">
        <f>MONTH(tbl_dados[[#This Row],[Data]])</f>
        <v>10</v>
      </c>
      <c r="C38" s="17" t="s">
        <v>45</v>
      </c>
      <c r="D38" s="17" t="s">
        <v>88</v>
      </c>
      <c r="E38" s="17" t="s">
        <v>89</v>
      </c>
      <c r="F38" s="18">
        <v>1500</v>
      </c>
      <c r="G38" s="17" t="s">
        <v>10</v>
      </c>
      <c r="H38" s="17" t="s">
        <v>11</v>
      </c>
    </row>
    <row r="39" spans="1:8" ht="26.25" customHeight="1" x14ac:dyDescent="0.25">
      <c r="A39" s="16">
        <v>45583</v>
      </c>
      <c r="B39" s="19">
        <f>MONTH(tbl_dados[[#This Row],[Data]])</f>
        <v>10</v>
      </c>
      <c r="C39" s="17" t="s">
        <v>47</v>
      </c>
      <c r="D39" s="17" t="s">
        <v>60</v>
      </c>
      <c r="E39" s="17" t="s">
        <v>90</v>
      </c>
      <c r="F39" s="18">
        <v>300</v>
      </c>
      <c r="G39" s="17" t="s">
        <v>14</v>
      </c>
      <c r="H39" s="17" t="s">
        <v>49</v>
      </c>
    </row>
    <row r="40" spans="1:8" ht="26.25" customHeight="1" x14ac:dyDescent="0.25">
      <c r="A40" s="16">
        <v>45585</v>
      </c>
      <c r="B40" s="19">
        <f>MONTH(tbl_dados[[#This Row],[Data]])</f>
        <v>10</v>
      </c>
      <c r="C40" s="17" t="s">
        <v>47</v>
      </c>
      <c r="D40" s="17" t="s">
        <v>62</v>
      </c>
      <c r="E40" s="17" t="s">
        <v>91</v>
      </c>
      <c r="F40" s="18">
        <v>800</v>
      </c>
      <c r="G40" s="17" t="s">
        <v>10</v>
      </c>
      <c r="H40" s="17" t="s">
        <v>15</v>
      </c>
    </row>
    <row r="41" spans="1:8" ht="26.25" customHeight="1" x14ac:dyDescent="0.25">
      <c r="A41" s="16">
        <v>45587</v>
      </c>
      <c r="B41" s="19">
        <f>MONTH(tbl_dados[[#This Row],[Data]])</f>
        <v>10</v>
      </c>
      <c r="C41" s="17" t="s">
        <v>47</v>
      </c>
      <c r="D41" s="17" t="s">
        <v>64</v>
      </c>
      <c r="E41" s="17" t="s">
        <v>92</v>
      </c>
      <c r="F41" s="18">
        <v>250</v>
      </c>
      <c r="G41" s="17" t="s">
        <v>14</v>
      </c>
      <c r="H41" s="17" t="s">
        <v>49</v>
      </c>
    </row>
    <row r="42" spans="1:8" ht="26.25" customHeight="1" x14ac:dyDescent="0.25">
      <c r="A42" s="16">
        <v>45589</v>
      </c>
      <c r="B42" s="19">
        <f>MONTH(tbl_dados[[#This Row],[Data]])</f>
        <v>10</v>
      </c>
      <c r="C42" s="17" t="s">
        <v>47</v>
      </c>
      <c r="D42" s="17" t="s">
        <v>68</v>
      </c>
      <c r="E42" s="17" t="s">
        <v>93</v>
      </c>
      <c r="F42" s="18">
        <v>150</v>
      </c>
      <c r="G42" s="17" t="s">
        <v>22</v>
      </c>
      <c r="H42" s="17" t="s">
        <v>15</v>
      </c>
    </row>
    <row r="43" spans="1:8" ht="26.25" customHeight="1" x14ac:dyDescent="0.25">
      <c r="A43" s="16">
        <v>45591</v>
      </c>
      <c r="B43" s="19">
        <f>MONTH(tbl_dados[[#This Row],[Data]])</f>
        <v>10</v>
      </c>
      <c r="C43" s="17" t="s">
        <v>47</v>
      </c>
      <c r="D43" s="17" t="s">
        <v>66</v>
      </c>
      <c r="E43" s="17" t="s">
        <v>94</v>
      </c>
      <c r="F43" s="18">
        <v>250</v>
      </c>
      <c r="G43" s="17" t="s">
        <v>10</v>
      </c>
      <c r="H43" s="17" t="s">
        <v>49</v>
      </c>
    </row>
    <row r="44" spans="1:8" ht="26.25" customHeight="1" x14ac:dyDescent="0.25">
      <c r="A44" s="16">
        <v>45595</v>
      </c>
      <c r="B44" s="19">
        <f>MONTH(tbl_dados[[#This Row],[Data]])</f>
        <v>10</v>
      </c>
      <c r="C44" s="17" t="s">
        <v>47</v>
      </c>
      <c r="D44" s="17" t="s">
        <v>71</v>
      </c>
      <c r="E44" s="17" t="s">
        <v>95</v>
      </c>
      <c r="F44" s="18">
        <v>220</v>
      </c>
      <c r="G44" s="17" t="s">
        <v>10</v>
      </c>
      <c r="H44" s="17" t="s">
        <v>49</v>
      </c>
    </row>
    <row r="45" spans="1:8" ht="26.25" customHeight="1" x14ac:dyDescent="0.25">
      <c r="A45" s="16">
        <v>45596</v>
      </c>
      <c r="B45" s="19">
        <f>MONTH(tbl_dados[[#This Row],[Data]])</f>
        <v>10</v>
      </c>
      <c r="C45" s="17" t="s">
        <v>47</v>
      </c>
      <c r="D45" s="17" t="s">
        <v>26</v>
      </c>
      <c r="E45" s="17" t="s">
        <v>96</v>
      </c>
      <c r="F45" s="18">
        <v>500</v>
      </c>
      <c r="G45" s="17" t="s">
        <v>14</v>
      </c>
      <c r="H45" s="17" t="s">
        <v>49</v>
      </c>
    </row>
    <row r="46" spans="1:8" ht="26.25" customHeight="1" x14ac:dyDescent="0.25">
      <c r="A46" s="1">
        <v>45671</v>
      </c>
      <c r="B46" s="10">
        <f>MONTH(tbl_dados[[#This Row],[Data]])</f>
        <v>1</v>
      </c>
      <c r="C46" s="2" t="s">
        <v>12</v>
      </c>
      <c r="D46" s="2" t="s">
        <v>23</v>
      </c>
      <c r="E46" s="2" t="s">
        <v>29</v>
      </c>
      <c r="F46" s="3">
        <v>65</v>
      </c>
      <c r="G46" s="2" t="s">
        <v>14</v>
      </c>
      <c r="H46" s="2" t="s">
        <v>15</v>
      </c>
    </row>
    <row r="47" spans="1:8" ht="26.25" customHeight="1" x14ac:dyDescent="0.25">
      <c r="A47" s="1">
        <v>45672</v>
      </c>
      <c r="B47" s="10">
        <f>MONTH(tbl_dados[[#This Row],[Data]])</f>
        <v>1</v>
      </c>
      <c r="C47" s="2" t="s">
        <v>12</v>
      </c>
      <c r="D47" s="2" t="s">
        <v>24</v>
      </c>
      <c r="E47" s="2" t="s">
        <v>30</v>
      </c>
      <c r="F47" s="3">
        <v>85</v>
      </c>
      <c r="G47" s="2" t="s">
        <v>19</v>
      </c>
      <c r="H47" s="2" t="s">
        <v>15</v>
      </c>
    </row>
    <row r="48" spans="1:8" ht="26.25" customHeight="1" x14ac:dyDescent="0.25">
      <c r="A48" s="1">
        <v>45673</v>
      </c>
      <c r="B48" s="10">
        <f>MONTH(tbl_dados[[#This Row],[Data]])</f>
        <v>1</v>
      </c>
      <c r="C48" s="2" t="s">
        <v>12</v>
      </c>
      <c r="D48" s="2" t="s">
        <v>18</v>
      </c>
      <c r="E48" s="2" t="s">
        <v>31</v>
      </c>
      <c r="F48" s="3">
        <v>110</v>
      </c>
      <c r="G48" s="2" t="s">
        <v>25</v>
      </c>
      <c r="H48" s="2" t="s">
        <v>15</v>
      </c>
    </row>
    <row r="49" spans="1:8" ht="26.25" customHeight="1" x14ac:dyDescent="0.25">
      <c r="A49" s="1">
        <v>45705</v>
      </c>
      <c r="B49" s="10">
        <f>MONTH(tbl_dados[[#This Row],[Data]])</f>
        <v>2</v>
      </c>
      <c r="C49" s="2" t="s">
        <v>7</v>
      </c>
      <c r="D49" s="2" t="s">
        <v>8</v>
      </c>
      <c r="E49" s="2" t="s">
        <v>9</v>
      </c>
      <c r="F49" s="3">
        <v>1200</v>
      </c>
      <c r="G49" s="2" t="s">
        <v>10</v>
      </c>
      <c r="H49" s="2" t="s">
        <v>11</v>
      </c>
    </row>
    <row r="50" spans="1:8" ht="26.25" customHeight="1" x14ac:dyDescent="0.25">
      <c r="A50" s="1">
        <v>45706</v>
      </c>
      <c r="B50" s="10">
        <f>MONTH(tbl_dados[[#This Row],[Data]])</f>
        <v>2</v>
      </c>
      <c r="C50" s="2" t="s">
        <v>12</v>
      </c>
      <c r="D50" s="2" t="s">
        <v>26</v>
      </c>
      <c r="E50" s="2" t="s">
        <v>32</v>
      </c>
      <c r="F50" s="3">
        <v>850</v>
      </c>
      <c r="G50" s="2" t="s">
        <v>14</v>
      </c>
      <c r="H50" s="2" t="s">
        <v>15</v>
      </c>
    </row>
    <row r="51" spans="1:8" ht="26.25" customHeight="1" x14ac:dyDescent="0.25">
      <c r="A51" s="1">
        <v>45707</v>
      </c>
      <c r="B51" s="10">
        <f>MONTH(tbl_dados[[#This Row],[Data]])</f>
        <v>2</v>
      </c>
      <c r="C51" s="2" t="s">
        <v>12</v>
      </c>
      <c r="D51" s="2" t="s">
        <v>13</v>
      </c>
      <c r="E51" s="2" t="s">
        <v>33</v>
      </c>
      <c r="F51" s="3">
        <v>200</v>
      </c>
      <c r="G51" s="2" t="s">
        <v>17</v>
      </c>
      <c r="H51" s="2" t="s">
        <v>15</v>
      </c>
    </row>
    <row r="52" spans="1:8" ht="26.25" customHeight="1" x14ac:dyDescent="0.25">
      <c r="A52" s="1">
        <v>45677</v>
      </c>
      <c r="B52" s="10">
        <f>MONTH(tbl_dados[[#This Row],[Data]])</f>
        <v>1</v>
      </c>
      <c r="C52" s="2" t="s">
        <v>7</v>
      </c>
      <c r="D52" s="2" t="s">
        <v>8</v>
      </c>
      <c r="E52" s="2" t="s">
        <v>9</v>
      </c>
      <c r="F52" s="3">
        <v>1200</v>
      </c>
      <c r="G52" s="2" t="s">
        <v>10</v>
      </c>
      <c r="H52" s="2" t="s">
        <v>11</v>
      </c>
    </row>
    <row r="53" spans="1:8" ht="26.25" customHeight="1" x14ac:dyDescent="0.25">
      <c r="A53" s="1">
        <v>45678</v>
      </c>
      <c r="B53" s="10">
        <f>MONTH(tbl_dados[[#This Row],[Data]])</f>
        <v>1</v>
      </c>
      <c r="C53" s="2" t="s">
        <v>12</v>
      </c>
      <c r="D53" s="2" t="s">
        <v>13</v>
      </c>
      <c r="E53" s="2" t="s">
        <v>34</v>
      </c>
      <c r="F53" s="3">
        <v>160</v>
      </c>
      <c r="G53" s="2" t="s">
        <v>14</v>
      </c>
      <c r="H53" s="2" t="s">
        <v>15</v>
      </c>
    </row>
    <row r="54" spans="1:8" ht="26.25" customHeight="1" x14ac:dyDescent="0.25">
      <c r="A54" s="1">
        <v>45710</v>
      </c>
      <c r="B54" s="10">
        <f>MONTH(tbl_dados[[#This Row],[Data]])</f>
        <v>2</v>
      </c>
      <c r="C54" s="2" t="s">
        <v>12</v>
      </c>
      <c r="D54" s="2" t="s">
        <v>18</v>
      </c>
      <c r="E54" s="2" t="s">
        <v>27</v>
      </c>
      <c r="F54" s="3">
        <v>125</v>
      </c>
      <c r="G54" s="2" t="s">
        <v>19</v>
      </c>
      <c r="H54" s="2" t="s">
        <v>15</v>
      </c>
    </row>
    <row r="55" spans="1:8" ht="26.25" customHeight="1" x14ac:dyDescent="0.25">
      <c r="A55" s="1">
        <v>45680</v>
      </c>
      <c r="B55" s="10">
        <f>MONTH(tbl_dados[[#This Row],[Data]])</f>
        <v>1</v>
      </c>
      <c r="C55" s="2" t="s">
        <v>7</v>
      </c>
      <c r="D55" s="2" t="s">
        <v>8</v>
      </c>
      <c r="E55" s="2" t="s">
        <v>9</v>
      </c>
      <c r="F55" s="3">
        <v>1200</v>
      </c>
      <c r="G55" s="2" t="s">
        <v>10</v>
      </c>
      <c r="H55" s="2" t="s">
        <v>11</v>
      </c>
    </row>
    <row r="56" spans="1:8" ht="26.25" customHeight="1" x14ac:dyDescent="0.25">
      <c r="A56" s="1">
        <v>45681</v>
      </c>
      <c r="B56" s="10">
        <f>MONTH(tbl_dados[[#This Row],[Data]])</f>
        <v>1</v>
      </c>
      <c r="C56" s="2" t="s">
        <v>12</v>
      </c>
      <c r="D56" s="2" t="s">
        <v>21</v>
      </c>
      <c r="E56" s="2" t="s">
        <v>35</v>
      </c>
      <c r="F56" s="3">
        <v>460</v>
      </c>
      <c r="G56" s="2" t="s">
        <v>22</v>
      </c>
      <c r="H56" s="2" t="s">
        <v>15</v>
      </c>
    </row>
    <row r="57" spans="1:8" ht="26.25" customHeight="1" x14ac:dyDescent="0.25">
      <c r="A57" s="1">
        <v>45682</v>
      </c>
      <c r="B57" s="10">
        <f>MONTH(tbl_dados[[#This Row],[Data]])</f>
        <v>1</v>
      </c>
      <c r="C57" s="2" t="s">
        <v>12</v>
      </c>
      <c r="D57" s="2" t="s">
        <v>16</v>
      </c>
      <c r="E57" s="2" t="s">
        <v>36</v>
      </c>
      <c r="F57" s="3">
        <v>230</v>
      </c>
      <c r="G57" s="2" t="s">
        <v>17</v>
      </c>
      <c r="H57" s="2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05B7-AA0D-4DB5-8736-FB75DD57F61B}">
  <sheetPr>
    <tabColor rgb="FF0070C0"/>
  </sheetPr>
  <dimension ref="C1:G7"/>
  <sheetViews>
    <sheetView workbookViewId="0">
      <selection activeCell="F4" sqref="F4"/>
    </sheetView>
  </sheetViews>
  <sheetFormatPr defaultRowHeight="15" x14ac:dyDescent="0.25"/>
  <cols>
    <col min="3" max="3" width="18" bestFit="1" customWidth="1"/>
    <col min="4" max="5" width="13.85546875" bestFit="1" customWidth="1"/>
    <col min="6" max="6" width="18" bestFit="1" customWidth="1"/>
    <col min="7" max="7" width="13.85546875" bestFit="1" customWidth="1"/>
  </cols>
  <sheetData>
    <row r="1" spans="3:7" x14ac:dyDescent="0.25">
      <c r="C1" s="4" t="s">
        <v>1</v>
      </c>
      <c r="D1" t="s">
        <v>47</v>
      </c>
      <c r="F1" s="4" t="s">
        <v>1</v>
      </c>
      <c r="G1" t="s">
        <v>45</v>
      </c>
    </row>
    <row r="3" spans="3:7" x14ac:dyDescent="0.25">
      <c r="C3" s="4" t="s">
        <v>37</v>
      </c>
      <c r="D3" t="s">
        <v>39</v>
      </c>
      <c r="F3" s="4" t="s">
        <v>37</v>
      </c>
      <c r="G3" t="s">
        <v>39</v>
      </c>
    </row>
    <row r="4" spans="3:7" x14ac:dyDescent="0.25">
      <c r="C4" s="5" t="s">
        <v>13</v>
      </c>
      <c r="D4" s="6">
        <v>200</v>
      </c>
      <c r="F4" s="5" t="s">
        <v>46</v>
      </c>
      <c r="G4" s="6">
        <v>1200</v>
      </c>
    </row>
    <row r="5" spans="3:7" x14ac:dyDescent="0.25">
      <c r="C5" s="5" t="s">
        <v>18</v>
      </c>
      <c r="D5" s="6">
        <v>125</v>
      </c>
      <c r="F5" s="5" t="s">
        <v>38</v>
      </c>
      <c r="G5" s="6">
        <v>1200</v>
      </c>
    </row>
    <row r="6" spans="3:7" x14ac:dyDescent="0.25">
      <c r="C6" s="5" t="s">
        <v>26</v>
      </c>
      <c r="D6" s="6">
        <v>850</v>
      </c>
    </row>
    <row r="7" spans="3:7" x14ac:dyDescent="0.25">
      <c r="C7" s="5" t="s">
        <v>38</v>
      </c>
      <c r="D7" s="6">
        <v>1175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5519-B2FD-4C23-B780-EADF5F16C784}">
  <sheetPr>
    <tabColor rgb="FF0070C0"/>
  </sheetPr>
  <dimension ref="C1:D17"/>
  <sheetViews>
    <sheetView workbookViewId="0"/>
  </sheetViews>
  <sheetFormatPr defaultRowHeight="15" x14ac:dyDescent="0.25"/>
  <cols>
    <col min="3" max="3" width="20.7109375" customWidth="1"/>
    <col min="4" max="4" width="21.28515625" customWidth="1"/>
  </cols>
  <sheetData>
    <row r="1" spans="3:4" s="8" customFormat="1" ht="43.5" customHeight="1" x14ac:dyDescent="0.25"/>
    <row r="3" spans="3:4" x14ac:dyDescent="0.25">
      <c r="C3" s="8" t="s">
        <v>43</v>
      </c>
      <c r="D3" s="14">
        <f>SUM(D7:D17)</f>
        <v>3235</v>
      </c>
    </row>
    <row r="4" spans="3:4" x14ac:dyDescent="0.25">
      <c r="C4" s="8" t="s">
        <v>44</v>
      </c>
      <c r="D4" s="15">
        <v>20000</v>
      </c>
    </row>
    <row r="6" spans="3:4" x14ac:dyDescent="0.25">
      <c r="C6" s="11" t="s">
        <v>41</v>
      </c>
      <c r="D6" s="11" t="s">
        <v>42</v>
      </c>
    </row>
    <row r="7" spans="3:4" x14ac:dyDescent="0.25">
      <c r="C7" s="13">
        <v>45993</v>
      </c>
      <c r="D7" s="12">
        <v>143</v>
      </c>
    </row>
    <row r="8" spans="3:4" x14ac:dyDescent="0.25">
      <c r="C8" s="13">
        <v>45994</v>
      </c>
      <c r="D8" s="12">
        <v>82</v>
      </c>
    </row>
    <row r="9" spans="3:4" x14ac:dyDescent="0.25">
      <c r="C9" s="13">
        <v>45995</v>
      </c>
      <c r="D9" s="12">
        <v>352</v>
      </c>
    </row>
    <row r="10" spans="3:4" x14ac:dyDescent="0.25">
      <c r="C10" s="13">
        <v>45996</v>
      </c>
      <c r="D10" s="12">
        <v>261</v>
      </c>
    </row>
    <row r="11" spans="3:4" x14ac:dyDescent="0.25">
      <c r="C11" s="13">
        <v>45997</v>
      </c>
      <c r="D11" s="12">
        <v>320</v>
      </c>
    </row>
    <row r="12" spans="3:4" x14ac:dyDescent="0.25">
      <c r="C12" s="13">
        <v>45998</v>
      </c>
      <c r="D12" s="12">
        <v>292</v>
      </c>
    </row>
    <row r="13" spans="3:4" x14ac:dyDescent="0.25">
      <c r="C13" s="13">
        <v>45999</v>
      </c>
      <c r="D13" s="12">
        <v>205</v>
      </c>
    </row>
    <row r="14" spans="3:4" x14ac:dyDescent="0.25">
      <c r="C14" s="13">
        <v>46000</v>
      </c>
      <c r="D14" s="12">
        <v>333</v>
      </c>
    </row>
    <row r="15" spans="3:4" x14ac:dyDescent="0.25">
      <c r="C15" s="13">
        <v>46001</v>
      </c>
      <c r="D15" s="12">
        <v>251</v>
      </c>
    </row>
    <row r="16" spans="3:4" x14ac:dyDescent="0.25">
      <c r="C16" s="13">
        <v>46002</v>
      </c>
      <c r="D16" s="12">
        <v>535</v>
      </c>
    </row>
    <row r="17" spans="3:4" x14ac:dyDescent="0.25">
      <c r="C17" s="13">
        <v>46003</v>
      </c>
      <c r="D17" s="12">
        <v>461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4219-BB91-4F30-92E8-A2FD33BA09F8}">
  <dimension ref="A1:U1"/>
  <sheetViews>
    <sheetView tabSelected="1" zoomScale="80" zoomScaleNormal="80" workbookViewId="0">
      <selection activeCell="A26" sqref="A26"/>
    </sheetView>
  </sheetViews>
  <sheetFormatPr defaultColWidth="0" defaultRowHeight="15" x14ac:dyDescent="0.25"/>
  <cols>
    <col min="1" max="1" width="38" style="8" customWidth="1"/>
    <col min="2" max="21" width="9.140625" style="7" customWidth="1"/>
    <col min="22" max="16384" width="9.140625" hidden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controle</vt:lpstr>
      <vt:lpstr>Caixinha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Win-10</dc:creator>
  <cp:lastModifiedBy>Win-10</cp:lastModifiedBy>
  <dcterms:created xsi:type="dcterms:W3CDTF">2025-01-12T19:50:51Z</dcterms:created>
  <dcterms:modified xsi:type="dcterms:W3CDTF">2025-01-13T01:28:33Z</dcterms:modified>
</cp:coreProperties>
</file>